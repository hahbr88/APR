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134d01b4700188/문서/지출결의/"/>
    </mc:Choice>
  </mc:AlternateContent>
  <xr:revisionPtr revIDLastSave="49" documentId="13_ncr:1_{3E86115B-679F-4C7E-8BB2-5D732FAA3716}" xr6:coauthVersionLast="47" xr6:coauthVersionMax="47" xr10:uidLastSave="{4592D3A1-92F6-4296-BC67-FE619F4DC0E6}"/>
  <bookViews>
    <workbookView xWindow="-120" yWindow="-120" windowWidth="29040" windowHeight="15720" xr2:uid="{00000000-000D-0000-FFFF-FFFF00000000}"/>
  </bookViews>
  <sheets>
    <sheet name="지출결의서" sheetId="5" r:id="rId1"/>
    <sheet name="경비사용내역서" sheetId="4" r:id="rId2"/>
    <sheet name="AI영수증" sheetId="7" state="hidden" r:id="rId3"/>
  </sheets>
  <definedNames>
    <definedName name="_xlnm.Print_Area" localSheetId="1">경비사용내역서!$B$2:$J$38</definedName>
    <definedName name="_xlnm.Print_Area" localSheetId="0">지출결의서!$A$1:$AC$36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C9" i="5"/>
  <c r="F4" i="4" s="1"/>
  <c r="H22" i="4"/>
  <c r="I22" i="4" l="1"/>
  <c r="F32" i="5" l="1"/>
  <c r="R17" i="5" l="1"/>
  <c r="R32" i="5" l="1"/>
  <c r="R6" i="5" s="1"/>
  <c r="C6" i="5" s="1"/>
  <c r="I18" i="4" l="1"/>
  <c r="H18" i="4"/>
  <c r="H33" i="4" l="1"/>
  <c r="I33" i="4"/>
  <c r="H24" i="4"/>
  <c r="I24" i="4"/>
  <c r="I29" i="4"/>
  <c r="H29" i="4"/>
  <c r="H35" i="4"/>
  <c r="I35" i="4"/>
  <c r="C11" i="5"/>
  <c r="H36" i="4" l="1"/>
  <c r="H38" i="4" s="1"/>
  <c r="I36" i="4"/>
  <c r="I38" i="4" s="1"/>
</calcChain>
</file>

<file path=xl/sharedStrings.xml><?xml version="1.0" encoding="utf-8"?>
<sst xmlns="http://schemas.openxmlformats.org/spreadsheetml/2006/main" count="81" uniqueCount="70">
  <si>
    <r>
      <t>회계</t>
    </r>
    <r>
      <rPr>
        <u/>
        <sz val="11"/>
        <rFont val="돋움"/>
        <family val="3"/>
        <charset val="129"/>
      </rPr>
      <t>(</t>
    </r>
    <r>
      <rPr>
        <u/>
        <sz val="14"/>
        <rFont val="돋움"/>
        <family val="3"/>
        <charset val="129"/>
      </rPr>
      <t>수입,지출</t>
    </r>
    <r>
      <rPr>
        <u/>
        <sz val="11"/>
        <rFont val="돋움"/>
        <family val="3"/>
        <charset val="129"/>
      </rPr>
      <t>)</t>
    </r>
    <r>
      <rPr>
        <b/>
        <u/>
        <sz val="24"/>
        <rFont val="돋움"/>
        <family val="3"/>
        <charset val="129"/>
      </rPr>
      <t>결의서</t>
    </r>
    <phoneticPr fontId="2" type="noConversion"/>
  </si>
  <si>
    <t>구분</t>
    <phoneticPr fontId="2" type="noConversion"/>
  </si>
  <si>
    <t xml:space="preserve">담 당 </t>
    <phoneticPr fontId="2" type="noConversion"/>
  </si>
  <si>
    <t>부 장</t>
    <phoneticPr fontId="2" type="noConversion"/>
  </si>
  <si>
    <t>사 장</t>
    <phoneticPr fontId="2" type="noConversion"/>
  </si>
  <si>
    <t>신청</t>
    <phoneticPr fontId="2" type="noConversion"/>
  </si>
  <si>
    <t>처리</t>
    <phoneticPr fontId="2" type="noConversion"/>
  </si>
  <si>
    <t>\</t>
    <phoneticPr fontId="2" type="noConversion"/>
  </si>
  <si>
    <t>)</t>
    <phoneticPr fontId="2" type="noConversion"/>
  </si>
  <si>
    <t>내역: 기타</t>
    <phoneticPr fontId="2" type="noConversion"/>
  </si>
  <si>
    <t>수금처</t>
    <phoneticPr fontId="2" type="noConversion"/>
  </si>
  <si>
    <t>접수일자</t>
    <phoneticPr fontId="2" type="noConversion"/>
  </si>
  <si>
    <t>처리일자</t>
    <phoneticPr fontId="2" type="noConversion"/>
  </si>
  <si>
    <t>수령인</t>
    <phoneticPr fontId="2" type="noConversion"/>
  </si>
  <si>
    <t>휴가일 : 0</t>
    <phoneticPr fontId="2" type="noConversion"/>
  </si>
  <si>
    <t>협
조</t>
    <phoneticPr fontId="2" type="noConversion"/>
  </si>
  <si>
    <t>협의부서</t>
    <phoneticPr fontId="2" type="noConversion"/>
  </si>
  <si>
    <t>등록확인</t>
    <phoneticPr fontId="2" type="noConversion"/>
  </si>
  <si>
    <t>증빙확인</t>
    <phoneticPr fontId="2" type="noConversion"/>
  </si>
  <si>
    <t>실사용금액</t>
    <phoneticPr fontId="2" type="noConversion"/>
  </si>
  <si>
    <t>지출결의 금액</t>
    <phoneticPr fontId="2" type="noConversion"/>
  </si>
  <si>
    <t xml:space="preserve">아모레퍼시픽 담당자 커피챗(이서희님 외 1인) </t>
  </si>
  <si>
    <t xml:space="preserve"> </t>
    <phoneticPr fontId="2" type="noConversion"/>
  </si>
  <si>
    <t>합       계</t>
    <phoneticPr fontId="2" type="noConversion"/>
  </si>
  <si>
    <t xml:space="preserve"> 특기사항</t>
    <phoneticPr fontId="2" type="noConversion"/>
  </si>
  <si>
    <t>문서번호</t>
    <phoneticPr fontId="2" type="noConversion"/>
  </si>
  <si>
    <t>㈜링스테크</t>
    <phoneticPr fontId="2" type="noConversion"/>
  </si>
  <si>
    <t>[첨부1]</t>
    <phoneticPr fontId="2" type="noConversion"/>
  </si>
  <si>
    <t>업무 경비 사용내역서</t>
    <phoneticPr fontId="2" type="noConversion"/>
  </si>
  <si>
    <t>접수자</t>
    <phoneticPr fontId="2" type="noConversion"/>
  </si>
  <si>
    <t>신청기간</t>
    <phoneticPr fontId="2" type="noConversion"/>
  </si>
  <si>
    <t>기타</t>
    <phoneticPr fontId="2" type="noConversion"/>
  </si>
  <si>
    <t>고객사명</t>
    <phoneticPr fontId="2" type="noConversion"/>
  </si>
  <si>
    <t>업무구분</t>
    <phoneticPr fontId="2" type="noConversion"/>
  </si>
  <si>
    <t>지역구분</t>
    <phoneticPr fontId="2" type="noConversion"/>
  </si>
  <si>
    <t>일자</t>
    <phoneticPr fontId="2" type="noConversion"/>
  </si>
  <si>
    <t>실사용 내역 구분</t>
    <phoneticPr fontId="2" type="noConversion"/>
  </si>
  <si>
    <t>지출 사유</t>
    <phoneticPr fontId="2" type="noConversion"/>
  </si>
  <si>
    <t>지출금액</t>
    <phoneticPr fontId="2" type="noConversion"/>
  </si>
  <si>
    <t>지방 출장 기간 명기</t>
    <phoneticPr fontId="2" type="noConversion"/>
  </si>
  <si>
    <t>프로젝트</t>
    <phoneticPr fontId="2" type="noConversion"/>
  </si>
  <si>
    <t>서울</t>
    <phoneticPr fontId="2" type="noConversion"/>
  </si>
  <si>
    <t>저녁식대</t>
    <phoneticPr fontId="2" type="noConversion"/>
  </si>
  <si>
    <t>링스테크 내부</t>
    <phoneticPr fontId="2" type="noConversion"/>
  </si>
  <si>
    <t>합계</t>
    <phoneticPr fontId="2" type="noConversion"/>
  </si>
  <si>
    <t>업무가불</t>
    <phoneticPr fontId="2" type="noConversion"/>
  </si>
  <si>
    <t>청구(정산)금액</t>
    <phoneticPr fontId="2" type="noConversion"/>
  </si>
  <si>
    <t>고객사명 명기</t>
    <phoneticPr fontId="2" type="noConversion"/>
  </si>
  <si>
    <t>실사용 내역구분</t>
    <phoneticPr fontId="2" type="noConversion"/>
  </si>
  <si>
    <t>상세명기</t>
    <phoneticPr fontId="2" type="noConversion"/>
  </si>
  <si>
    <t>지출금액 부분</t>
    <phoneticPr fontId="2" type="noConversion"/>
  </si>
  <si>
    <t>아침식대</t>
    <phoneticPr fontId="2" type="noConversion"/>
  </si>
  <si>
    <t>저녁식대의 경우 퇴근 시간 명기</t>
    <phoneticPr fontId="2" type="noConversion"/>
  </si>
  <si>
    <t>실제영수증상의</t>
    <phoneticPr fontId="2" type="noConversion"/>
  </si>
  <si>
    <t>식대는 7,000원 
이하 지급</t>
    <phoneticPr fontId="2" type="noConversion"/>
  </si>
  <si>
    <t>유지보수</t>
    <phoneticPr fontId="2" type="noConversion"/>
  </si>
  <si>
    <t>지방</t>
    <phoneticPr fontId="2" type="noConversion"/>
  </si>
  <si>
    <t>점심식대</t>
    <phoneticPr fontId="2" type="noConversion"/>
  </si>
  <si>
    <t>타사 담당자와 식사시 타사 담당자명 명기</t>
    <phoneticPr fontId="2" type="noConversion"/>
  </si>
  <si>
    <t>금액 명기</t>
    <phoneticPr fontId="2" type="noConversion"/>
  </si>
  <si>
    <t>링스테크내부</t>
    <phoneticPr fontId="2" type="noConversion"/>
  </si>
  <si>
    <t>출장시 1일 식대 
비용은 20,000원 
이하 지급 각 구분별 명기 필요</t>
    <phoneticPr fontId="2" type="noConversion"/>
  </si>
  <si>
    <t>교통비(택시/기차/비행기 등)</t>
    <phoneticPr fontId="2" type="noConversion"/>
  </si>
  <si>
    <t>차량유지비(주차비/주유비)</t>
    <phoneticPr fontId="2" type="noConversion"/>
  </si>
  <si>
    <t xml:space="preserve">별도의 간식비용 
없음 1일 식대 20,000원 이하에서
 대체 가능 </t>
    <phoneticPr fontId="2" type="noConversion"/>
  </si>
  <si>
    <t>소모품비</t>
    <phoneticPr fontId="2" type="noConversion"/>
  </si>
  <si>
    <t>복리후생비</t>
    <phoneticPr fontId="2" type="noConversion"/>
  </si>
  <si>
    <t>하병노</t>
    <phoneticPr fontId="7" type="noConversion"/>
  </si>
  <si>
    <t>접수자 : 하병노</t>
    <phoneticPr fontId="2" type="noConversion"/>
  </si>
  <si>
    <t xml:space="preserve">KTX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</si>
</sst>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m&quot;월&quot;\ d&quot;일&quot;"/>
    <numFmt numFmtId="177" formatCode="m&quot;/&quot;d;@"/>
    <numFmt numFmtId="178" formatCode="mm&quot;월&quot;\ dd&quot;일&quot;"/>
    <numFmt numFmtId="179" formatCode="#,##0_ "/>
    <numFmt numFmtId="180" formatCode="_ * #,##0_ ;_ * \-#,##0_ ;_ * &quot;-&quot;_ ;_ @_ "/>
    <numFmt numFmtId="181" formatCode="_ * #,##0.00_ ;_ * \-#,##0.00_ ;_ * &quot;-&quot;??_ ;_ @_ "/>
    <numFmt numFmtId="182" formatCode="0.0&quot;)&quot;"/>
    <numFmt numFmtId="183" formatCode="0&quot;)&quot;"/>
    <numFmt numFmtId="184" formatCode="_(* #,##0_);_(* \(#,##0\);_(* &quot;-&quot;_);_(@_)"/>
    <numFmt numFmtId="185" formatCode="_(* #,##0.00_);_(* \(#,##0.00\);_(* &quot;-&quot;??_);_(@_)"/>
    <numFmt numFmtId="186" formatCode="#,##0_);[Red]\(#,##0\)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u/>
      <sz val="24"/>
      <name val="돋움"/>
      <family val="3"/>
      <charset val="129"/>
    </font>
    <font>
      <u/>
      <sz val="11"/>
      <name val="돋움"/>
      <family val="3"/>
      <charset val="129"/>
    </font>
    <font>
      <u/>
      <sz val="14"/>
      <name val="돋움"/>
      <family val="3"/>
      <charset val="129"/>
    </font>
    <font>
      <sz val="8"/>
      <name val="맑은 고딕"/>
      <family val="3"/>
      <charset val="129"/>
    </font>
    <font>
      <b/>
      <u/>
      <sz val="14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Times New Roman"/>
      <family val="1"/>
    </font>
    <font>
      <sz val="10"/>
      <name val="Helv"/>
      <family val="2"/>
    </font>
    <font>
      <sz val="9"/>
      <color indexed="8"/>
      <name val="굴림"/>
      <family val="3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3" fillId="0" borderId="0"/>
    <xf numFmtId="0" fontId="14" fillId="0" borderId="0"/>
    <xf numFmtId="184" fontId="15" fillId="0" borderId="0" applyFont="0" applyFill="0" applyBorder="0" applyAlignment="0" applyProtection="0"/>
    <xf numFmtId="185" fontId="15" fillId="0" borderId="0" applyFont="0" applyFill="0" applyBorder="0" applyAlignment="0" applyProtection="0"/>
  </cellStyleXfs>
  <cellXfs count="176">
    <xf numFmtId="0" fontId="0" fillId="0" borderId="0" xfId="0">
      <alignment vertical="center"/>
    </xf>
    <xf numFmtId="0" fontId="1" fillId="0" borderId="0" xfId="3">
      <alignment vertical="center"/>
    </xf>
    <xf numFmtId="0" fontId="1" fillId="0" borderId="18" xfId="3" applyBorder="1">
      <alignment vertical="center"/>
    </xf>
    <xf numFmtId="0" fontId="1" fillId="0" borderId="19" xfId="3" applyBorder="1">
      <alignment vertical="center"/>
    </xf>
    <xf numFmtId="0" fontId="10" fillId="0" borderId="19" xfId="3" applyFont="1" applyBorder="1">
      <alignment vertical="center"/>
    </xf>
    <xf numFmtId="0" fontId="1" fillId="0" borderId="20" xfId="3" applyBorder="1">
      <alignment vertical="center"/>
    </xf>
    <xf numFmtId="0" fontId="1" fillId="0" borderId="21" xfId="3" applyBorder="1">
      <alignment vertical="center"/>
    </xf>
    <xf numFmtId="0" fontId="1" fillId="0" borderId="22" xfId="3" applyBorder="1">
      <alignment vertical="center"/>
    </xf>
    <xf numFmtId="0" fontId="1" fillId="0" borderId="23" xfId="3" applyBorder="1">
      <alignment vertical="center"/>
    </xf>
    <xf numFmtId="0" fontId="1" fillId="0" borderId="29" xfId="3" applyBorder="1">
      <alignment vertical="center"/>
    </xf>
    <xf numFmtId="0" fontId="1" fillId="0" borderId="2" xfId="3" applyBorder="1">
      <alignment vertical="center"/>
    </xf>
    <xf numFmtId="0" fontId="1" fillId="0" borderId="33" xfId="3" applyBorder="1" applyAlignment="1">
      <alignment vertical="center" shrinkToFit="1"/>
    </xf>
    <xf numFmtId="0" fontId="1" fillId="0" borderId="31" xfId="3" applyBorder="1" applyAlignment="1">
      <alignment vertical="center" shrinkToFit="1"/>
    </xf>
    <xf numFmtId="0" fontId="1" fillId="0" borderId="34" xfId="3" applyBorder="1" applyAlignment="1">
      <alignment vertical="center" shrinkToFit="1"/>
    </xf>
    <xf numFmtId="0" fontId="1" fillId="0" borderId="36" xfId="3" applyBorder="1">
      <alignment vertical="center"/>
    </xf>
    <xf numFmtId="0" fontId="1" fillId="0" borderId="38" xfId="3" applyBorder="1">
      <alignment vertical="center"/>
    </xf>
    <xf numFmtId="0" fontId="1" fillId="0" borderId="37" xfId="3" applyBorder="1" applyAlignment="1">
      <alignment vertical="center" shrinkToFit="1"/>
    </xf>
    <xf numFmtId="0" fontId="1" fillId="0" borderId="38" xfId="3" applyBorder="1" applyAlignment="1">
      <alignment vertical="center" shrinkToFit="1"/>
    </xf>
    <xf numFmtId="0" fontId="3" fillId="0" borderId="21" xfId="3" applyFont="1" applyBorder="1" applyAlignment="1">
      <alignment vertical="top"/>
    </xf>
    <xf numFmtId="0" fontId="3" fillId="0" borderId="22" xfId="3" applyFont="1" applyBorder="1" applyAlignment="1">
      <alignment horizontal="left" vertical="top"/>
    </xf>
    <xf numFmtId="0" fontId="3" fillId="0" borderId="36" xfId="3" applyFont="1" applyBorder="1" applyAlignment="1">
      <alignment vertical="top"/>
    </xf>
    <xf numFmtId="0" fontId="3" fillId="0" borderId="37" xfId="3" applyFont="1" applyBorder="1" applyAlignment="1">
      <alignment horizontal="left" vertical="top"/>
    </xf>
    <xf numFmtId="0" fontId="1" fillId="0" borderId="37" xfId="3" applyBorder="1">
      <alignment vertical="center"/>
    </xf>
    <xf numFmtId="0" fontId="9" fillId="0" borderId="0" xfId="3" applyFont="1">
      <alignment vertical="center"/>
    </xf>
    <xf numFmtId="177" fontId="16" fillId="0" borderId="1" xfId="2" applyNumberFormat="1" applyFont="1" applyBorder="1" applyAlignment="1">
      <alignment vertical="center"/>
    </xf>
    <xf numFmtId="0" fontId="16" fillId="0" borderId="1" xfId="2" applyFont="1" applyBorder="1" applyAlignment="1">
      <alignment vertical="center"/>
    </xf>
    <xf numFmtId="41" fontId="16" fillId="0" borderId="1" xfId="1" applyFont="1" applyBorder="1" applyAlignment="1">
      <alignment vertical="center"/>
    </xf>
    <xf numFmtId="0" fontId="16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177" fontId="19" fillId="0" borderId="1" xfId="2" applyNumberFormat="1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41" fontId="16" fillId="2" borderId="1" xfId="1" applyFont="1" applyFill="1" applyBorder="1" applyAlignment="1">
      <alignment horizontal="center" vertical="center"/>
    </xf>
    <xf numFmtId="41" fontId="16" fillId="2" borderId="1" xfId="1" applyFont="1" applyFill="1" applyBorder="1" applyAlignment="1">
      <alignment vertical="center"/>
    </xf>
    <xf numFmtId="0" fontId="16" fillId="2" borderId="1" xfId="2" applyFont="1" applyFill="1" applyBorder="1" applyAlignment="1">
      <alignment vertical="center"/>
    </xf>
    <xf numFmtId="0" fontId="20" fillId="2" borderId="1" xfId="2" applyFont="1" applyFill="1" applyBorder="1" applyAlignment="1">
      <alignment horizontal="center" vertical="center"/>
    </xf>
    <xf numFmtId="0" fontId="16" fillId="2" borderId="0" xfId="2" applyFont="1" applyFill="1" applyAlignment="1">
      <alignment vertical="center"/>
    </xf>
    <xf numFmtId="177" fontId="16" fillId="0" borderId="1" xfId="2" applyNumberFormat="1" applyFont="1" applyBorder="1" applyAlignment="1">
      <alignment horizontal="center" vertical="center"/>
    </xf>
    <xf numFmtId="41" fontId="16" fillId="0" borderId="1" xfId="1" applyFont="1" applyBorder="1" applyAlignment="1">
      <alignment horizontal="center" vertical="center"/>
    </xf>
    <xf numFmtId="177" fontId="16" fillId="0" borderId="0" xfId="2" applyNumberFormat="1" applyFont="1" applyAlignment="1">
      <alignment vertical="center"/>
    </xf>
    <xf numFmtId="41" fontId="16" fillId="0" borderId="0" xfId="1" applyFont="1" applyAlignment="1">
      <alignment vertical="center"/>
    </xf>
    <xf numFmtId="14" fontId="16" fillId="0" borderId="0" xfId="2" applyNumberFormat="1" applyFont="1" applyAlignment="1">
      <alignment vertical="center"/>
    </xf>
    <xf numFmtId="14" fontId="19" fillId="0" borderId="1" xfId="2" applyNumberFormat="1" applyFont="1" applyBorder="1" applyAlignment="1">
      <alignment horizontal="center" vertical="center"/>
    </xf>
    <xf numFmtId="14" fontId="16" fillId="2" borderId="1" xfId="2" applyNumberFormat="1" applyFont="1" applyFill="1" applyBorder="1" applyAlignment="1">
      <alignment horizontal="center" vertical="center"/>
    </xf>
    <xf numFmtId="14" fontId="16" fillId="0" borderId="1" xfId="2" applyNumberFormat="1" applyFont="1" applyBorder="1" applyAlignment="1">
      <alignment horizontal="center" vertical="center"/>
    </xf>
    <xf numFmtId="14" fontId="16" fillId="0" borderId="1" xfId="2" applyNumberFormat="1" applyFont="1" applyBorder="1" applyAlignment="1">
      <alignment vertical="center"/>
    </xf>
    <xf numFmtId="186" fontId="16" fillId="2" borderId="1" xfId="1" applyNumberFormat="1" applyFont="1" applyFill="1" applyBorder="1" applyAlignment="1">
      <alignment horizontal="right" vertical="center"/>
    </xf>
    <xf numFmtId="186" fontId="16" fillId="0" borderId="1" xfId="2" applyNumberFormat="1" applyFont="1" applyBorder="1" applyAlignment="1">
      <alignment horizontal="right" vertical="center"/>
    </xf>
    <xf numFmtId="41" fontId="16" fillId="4" borderId="1" xfId="1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vertical="center"/>
    </xf>
    <xf numFmtId="0" fontId="16" fillId="4" borderId="1" xfId="2" applyFont="1" applyFill="1" applyBorder="1" applyAlignment="1">
      <alignment vertical="center"/>
    </xf>
    <xf numFmtId="0" fontId="16" fillId="2" borderId="0" xfId="2" applyFont="1" applyFill="1" applyAlignment="1">
      <alignment horizontal="center" vertical="center"/>
    </xf>
    <xf numFmtId="41" fontId="16" fillId="2" borderId="0" xfId="1" applyFont="1" applyFill="1" applyBorder="1" applyAlignment="1">
      <alignment vertical="center"/>
    </xf>
    <xf numFmtId="41" fontId="19" fillId="4" borderId="1" xfId="1" applyFont="1" applyFill="1" applyBorder="1" applyAlignment="1">
      <alignment horizontal="center" vertical="center"/>
    </xf>
    <xf numFmtId="41" fontId="19" fillId="4" borderId="1" xfId="1" applyFont="1" applyFill="1" applyBorder="1" applyAlignment="1">
      <alignment vertical="center"/>
    </xf>
    <xf numFmtId="186" fontId="19" fillId="4" borderId="1" xfId="1" applyNumberFormat="1" applyFont="1" applyFill="1" applyBorder="1" applyAlignment="1">
      <alignment horizontal="right" vertical="center"/>
    </xf>
    <xf numFmtId="0" fontId="19" fillId="4" borderId="1" xfId="2" applyFont="1" applyFill="1" applyBorder="1" applyAlignment="1">
      <alignment vertical="center"/>
    </xf>
    <xf numFmtId="0" fontId="21" fillId="4" borderId="1" xfId="2" applyFont="1" applyFill="1" applyBorder="1" applyAlignment="1">
      <alignment horizontal="center" vertical="center"/>
    </xf>
    <xf numFmtId="177" fontId="19" fillId="3" borderId="59" xfId="2" applyNumberFormat="1" applyFont="1" applyFill="1" applyBorder="1" applyAlignment="1">
      <alignment horizontal="center" vertical="center"/>
    </xf>
    <xf numFmtId="0" fontId="19" fillId="3" borderId="59" xfId="2" applyFont="1" applyFill="1" applyBorder="1" applyAlignment="1">
      <alignment horizontal="center" vertical="center"/>
    </xf>
    <xf numFmtId="14" fontId="19" fillId="3" borderId="59" xfId="2" applyNumberFormat="1" applyFont="1" applyFill="1" applyBorder="1" applyAlignment="1">
      <alignment horizontal="center" vertical="center"/>
    </xf>
    <xf numFmtId="41" fontId="19" fillId="3" borderId="59" xfId="1" applyFont="1" applyFill="1" applyBorder="1" applyAlignment="1">
      <alignment horizontal="center" vertical="center"/>
    </xf>
    <xf numFmtId="0" fontId="19" fillId="5" borderId="1" xfId="2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vertical="center"/>
    </xf>
    <xf numFmtId="41" fontId="16" fillId="2" borderId="1" xfId="1" applyFont="1" applyFill="1" applyBorder="1" applyAlignment="1">
      <alignment vertical="center" wrapText="1"/>
    </xf>
    <xf numFmtId="0" fontId="0" fillId="0" borderId="0" xfId="3" applyFont="1">
      <alignment vertical="center"/>
    </xf>
    <xf numFmtId="177" fontId="16" fillId="0" borderId="58" xfId="2" applyNumberFormat="1" applyFont="1" applyBorder="1" applyAlignment="1">
      <alignment horizontal="center" vertical="center"/>
    </xf>
    <xf numFmtId="0" fontId="16" fillId="0" borderId="58" xfId="2" applyFont="1" applyBorder="1" applyAlignment="1">
      <alignment horizontal="center" vertical="center"/>
    </xf>
    <xf numFmtId="0" fontId="0" fillId="0" borderId="22" xfId="3" applyFont="1" applyBorder="1">
      <alignment vertical="center"/>
    </xf>
    <xf numFmtId="0" fontId="3" fillId="0" borderId="22" xfId="3" applyFont="1" applyBorder="1">
      <alignment vertical="center"/>
    </xf>
    <xf numFmtId="14" fontId="16" fillId="0" borderId="58" xfId="2" applyNumberFormat="1" applyFont="1" applyBorder="1" applyAlignment="1">
      <alignment horizontal="center" vertical="center"/>
    </xf>
    <xf numFmtId="176" fontId="16" fillId="2" borderId="1" xfId="2" applyNumberFormat="1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176" fontId="16" fillId="2" borderId="56" xfId="2" applyNumberFormat="1" applyFont="1" applyFill="1" applyBorder="1" applyAlignment="1">
      <alignment horizontal="center" vertical="center"/>
    </xf>
    <xf numFmtId="14" fontId="16" fillId="2" borderId="58" xfId="2" applyNumberFormat="1" applyFont="1" applyFill="1" applyBorder="1" applyAlignment="1">
      <alignment horizontal="center" vertical="center"/>
    </xf>
    <xf numFmtId="41" fontId="20" fillId="0" borderId="56" xfId="1" applyFont="1" applyBorder="1" applyAlignment="1">
      <alignment horizontal="center" vertical="center" wrapText="1"/>
    </xf>
    <xf numFmtId="41" fontId="20" fillId="0" borderId="57" xfId="1" applyFont="1" applyBorder="1" applyAlignment="1">
      <alignment horizontal="center" vertical="center"/>
    </xf>
    <xf numFmtId="41" fontId="20" fillId="0" borderId="58" xfId="1" applyFont="1" applyBorder="1" applyAlignment="1">
      <alignment horizontal="center" vertical="center"/>
    </xf>
    <xf numFmtId="177" fontId="16" fillId="0" borderId="33" xfId="2" applyNumberFormat="1" applyFont="1" applyBorder="1" applyAlignment="1">
      <alignment horizontal="left" vertical="center"/>
    </xf>
    <xf numFmtId="177" fontId="16" fillId="0" borderId="31" xfId="2" applyNumberFormat="1" applyFont="1" applyBorder="1" applyAlignment="1">
      <alignment horizontal="left" vertical="center"/>
    </xf>
    <xf numFmtId="177" fontId="16" fillId="0" borderId="32" xfId="2" applyNumberFormat="1" applyFont="1" applyBorder="1" applyAlignment="1">
      <alignment horizontal="left" vertical="center"/>
    </xf>
    <xf numFmtId="0" fontId="16" fillId="2" borderId="33" xfId="2" applyFont="1" applyFill="1" applyBorder="1" applyAlignment="1">
      <alignment horizontal="center" vertical="center"/>
    </xf>
    <xf numFmtId="0" fontId="16" fillId="2" borderId="32" xfId="2" applyFont="1" applyFill="1" applyBorder="1" applyAlignment="1">
      <alignment horizontal="center" vertical="center"/>
    </xf>
    <xf numFmtId="0" fontId="16" fillId="0" borderId="33" xfId="2" applyFont="1" applyBorder="1" applyAlignment="1">
      <alignment horizontal="center" vertical="center"/>
    </xf>
    <xf numFmtId="0" fontId="16" fillId="0" borderId="32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176" fontId="19" fillId="4" borderId="1" xfId="2" applyNumberFormat="1" applyFont="1" applyFill="1" applyBorder="1" applyAlignment="1">
      <alignment horizontal="center" vertical="center"/>
    </xf>
    <xf numFmtId="176" fontId="16" fillId="4" borderId="33" xfId="2" applyNumberFormat="1" applyFont="1" applyFill="1" applyBorder="1" applyAlignment="1">
      <alignment horizontal="center" vertical="center"/>
    </xf>
    <xf numFmtId="176" fontId="16" fillId="4" borderId="31" xfId="2" applyNumberFormat="1" applyFont="1" applyFill="1" applyBorder="1" applyAlignment="1">
      <alignment horizontal="center" vertical="center"/>
    </xf>
    <xf numFmtId="176" fontId="16" fillId="4" borderId="32" xfId="2" applyNumberFormat="1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31" fontId="16" fillId="0" borderId="33" xfId="2" applyNumberFormat="1" applyFont="1" applyBorder="1" applyAlignment="1">
      <alignment horizontal="left" vertical="center"/>
    </xf>
    <xf numFmtId="31" fontId="16" fillId="0" borderId="31" xfId="2" applyNumberFormat="1" applyFont="1" applyBorder="1" applyAlignment="1">
      <alignment horizontal="left" vertical="center"/>
    </xf>
    <xf numFmtId="31" fontId="16" fillId="0" borderId="32" xfId="2" applyNumberFormat="1" applyFont="1" applyBorder="1" applyAlignment="1">
      <alignment horizontal="left" vertical="center"/>
    </xf>
    <xf numFmtId="0" fontId="16" fillId="0" borderId="60" xfId="2" applyFont="1" applyBorder="1" applyAlignment="1">
      <alignment horizontal="center" vertical="center"/>
    </xf>
    <xf numFmtId="0" fontId="16" fillId="0" borderId="61" xfId="2" applyFont="1" applyBorder="1" applyAlignment="1">
      <alignment horizontal="center" vertical="center"/>
    </xf>
    <xf numFmtId="0" fontId="16" fillId="0" borderId="62" xfId="2" applyFont="1" applyBorder="1" applyAlignment="1">
      <alignment horizontal="center" vertical="center"/>
    </xf>
    <xf numFmtId="176" fontId="16" fillId="2" borderId="56" xfId="2" applyNumberFormat="1" applyFont="1" applyFill="1" applyBorder="1" applyAlignment="1">
      <alignment horizontal="center" vertical="center"/>
    </xf>
    <xf numFmtId="176" fontId="16" fillId="2" borderId="57" xfId="2" applyNumberFormat="1" applyFont="1" applyFill="1" applyBorder="1" applyAlignment="1">
      <alignment horizontal="center" vertical="center"/>
    </xf>
    <xf numFmtId="176" fontId="16" fillId="2" borderId="58" xfId="2" applyNumberFormat="1" applyFont="1" applyFill="1" applyBorder="1" applyAlignment="1">
      <alignment horizontal="center" vertical="center"/>
    </xf>
    <xf numFmtId="0" fontId="3" fillId="2" borderId="44" xfId="3" applyFont="1" applyFill="1" applyBorder="1" applyAlignment="1">
      <alignment horizontal="center" vertical="center"/>
    </xf>
    <xf numFmtId="0" fontId="3" fillId="2" borderId="45" xfId="3" applyFont="1" applyFill="1" applyBorder="1" applyAlignment="1">
      <alignment horizontal="center" vertical="center"/>
    </xf>
    <xf numFmtId="0" fontId="3" fillId="2" borderId="46" xfId="3" applyFont="1" applyFill="1" applyBorder="1" applyAlignment="1">
      <alignment horizontal="center" vertical="center"/>
    </xf>
    <xf numFmtId="179" fontId="10" fillId="2" borderId="44" xfId="3" applyNumberFormat="1" applyFont="1" applyFill="1" applyBorder="1" applyAlignment="1">
      <alignment horizontal="right" vertical="center"/>
    </xf>
    <xf numFmtId="179" fontId="10" fillId="2" borderId="45" xfId="3" applyNumberFormat="1" applyFont="1" applyFill="1" applyBorder="1" applyAlignment="1">
      <alignment horizontal="right" vertical="center"/>
    </xf>
    <xf numFmtId="179" fontId="10" fillId="2" borderId="46" xfId="3" applyNumberFormat="1" applyFont="1" applyFill="1" applyBorder="1" applyAlignment="1">
      <alignment horizontal="right" vertical="center"/>
    </xf>
    <xf numFmtId="179" fontId="10" fillId="0" borderId="44" xfId="3" applyNumberFormat="1" applyFont="1" applyBorder="1" applyAlignment="1">
      <alignment horizontal="right" vertical="center"/>
    </xf>
    <xf numFmtId="179" fontId="10" fillId="0" borderId="45" xfId="3" applyNumberFormat="1" applyFont="1" applyBorder="1" applyAlignment="1">
      <alignment horizontal="right" vertical="center"/>
    </xf>
    <xf numFmtId="179" fontId="10" fillId="0" borderId="46" xfId="3" applyNumberFormat="1" applyFont="1" applyBorder="1" applyAlignment="1">
      <alignment horizontal="right" vertical="center"/>
    </xf>
    <xf numFmtId="0" fontId="1" fillId="0" borderId="24" xfId="3" applyBorder="1" applyAlignment="1">
      <alignment horizontal="center" vertical="center"/>
    </xf>
    <xf numFmtId="0" fontId="1" fillId="0" borderId="25" xfId="3" applyBorder="1" applyAlignment="1">
      <alignment horizontal="center" vertical="center"/>
    </xf>
    <xf numFmtId="0" fontId="1" fillId="0" borderId="28" xfId="3" applyBorder="1" applyAlignment="1">
      <alignment horizontal="center" vertical="center"/>
    </xf>
    <xf numFmtId="0" fontId="1" fillId="0" borderId="53" xfId="3" applyBorder="1" applyAlignment="1">
      <alignment horizontal="center" vertical="center"/>
    </xf>
    <xf numFmtId="0" fontId="1" fillId="0" borderId="54" xfId="3" applyBorder="1" applyAlignment="1">
      <alignment horizontal="center" vertical="center"/>
    </xf>
    <xf numFmtId="0" fontId="1" fillId="0" borderId="55" xfId="3" applyBorder="1" applyAlignment="1">
      <alignment horizontal="center" vertical="center"/>
    </xf>
    <xf numFmtId="0" fontId="3" fillId="0" borderId="44" xfId="3" applyFont="1" applyBorder="1" applyAlignment="1">
      <alignment horizontal="center" vertical="center"/>
    </xf>
    <xf numFmtId="0" fontId="3" fillId="0" borderId="45" xfId="3" applyFont="1" applyBorder="1" applyAlignment="1">
      <alignment horizontal="center" vertical="center"/>
    </xf>
    <xf numFmtId="0" fontId="3" fillId="0" borderId="46" xfId="3" applyFont="1" applyBorder="1" applyAlignment="1">
      <alignment horizontal="center" vertical="center"/>
    </xf>
    <xf numFmtId="179" fontId="10" fillId="0" borderId="47" xfId="3" applyNumberFormat="1" applyFont="1" applyBorder="1" applyAlignment="1">
      <alignment horizontal="right" vertical="center"/>
    </xf>
    <xf numFmtId="179" fontId="10" fillId="0" borderId="48" xfId="3" applyNumberFormat="1" applyFont="1" applyBorder="1" applyAlignment="1">
      <alignment horizontal="right" vertical="center"/>
    </xf>
    <xf numFmtId="179" fontId="10" fillId="0" borderId="49" xfId="3" applyNumberFormat="1" applyFont="1" applyBorder="1" applyAlignment="1">
      <alignment horizontal="right" vertical="center"/>
    </xf>
    <xf numFmtId="0" fontId="10" fillId="0" borderId="50" xfId="3" applyFont="1" applyBorder="1" applyAlignment="1">
      <alignment horizontal="center" vertical="center"/>
    </xf>
    <xf numFmtId="0" fontId="10" fillId="0" borderId="51" xfId="3" applyFont="1" applyBorder="1" applyAlignment="1">
      <alignment horizontal="center" vertical="center"/>
    </xf>
    <xf numFmtId="0" fontId="10" fillId="0" borderId="52" xfId="3" applyFont="1" applyBorder="1" applyAlignment="1">
      <alignment horizontal="center" vertical="center"/>
    </xf>
    <xf numFmtId="179" fontId="10" fillId="0" borderId="50" xfId="3" applyNumberFormat="1" applyFont="1" applyBorder="1" applyAlignment="1">
      <alignment horizontal="right" vertical="center"/>
    </xf>
    <xf numFmtId="179" fontId="10" fillId="0" borderId="51" xfId="3" applyNumberFormat="1" applyFont="1" applyBorder="1" applyAlignment="1">
      <alignment horizontal="right" vertical="center"/>
    </xf>
    <xf numFmtId="179" fontId="10" fillId="0" borderId="52" xfId="3" applyNumberFormat="1" applyFont="1" applyBorder="1" applyAlignment="1">
      <alignment horizontal="right" vertical="center"/>
    </xf>
    <xf numFmtId="178" fontId="3" fillId="0" borderId="0" xfId="3" applyNumberFormat="1" applyFont="1">
      <alignment vertical="center"/>
    </xf>
    <xf numFmtId="0" fontId="3" fillId="0" borderId="0" xfId="3" applyFont="1">
      <alignment vertical="center"/>
    </xf>
    <xf numFmtId="0" fontId="1" fillId="0" borderId="35" xfId="3" applyBorder="1" applyAlignment="1">
      <alignment horizontal="center" vertical="center" wrapText="1"/>
    </xf>
    <xf numFmtId="0" fontId="1" fillId="0" borderId="1" xfId="3" applyBorder="1" applyAlignment="1">
      <alignment horizontal="center" vertical="center"/>
    </xf>
    <xf numFmtId="0" fontId="1" fillId="0" borderId="35" xfId="3" applyBorder="1" applyAlignment="1">
      <alignment horizontal="center" vertical="center"/>
    </xf>
    <xf numFmtId="0" fontId="1" fillId="0" borderId="39" xfId="3" applyBorder="1" applyAlignment="1">
      <alignment horizontal="center" vertical="center"/>
    </xf>
    <xf numFmtId="0" fontId="1" fillId="0" borderId="40" xfId="3" applyBorder="1" applyAlignment="1">
      <alignment horizontal="center" vertical="center"/>
    </xf>
    <xf numFmtId="0" fontId="3" fillId="0" borderId="37" xfId="3" applyFont="1" applyBorder="1" applyAlignment="1">
      <alignment horizontal="left" vertical="center"/>
    </xf>
    <xf numFmtId="14" fontId="3" fillId="0" borderId="0" xfId="3" applyNumberFormat="1" applyFont="1">
      <alignment vertical="center"/>
    </xf>
    <xf numFmtId="0" fontId="1" fillId="0" borderId="30" xfId="3" applyBorder="1" applyAlignment="1">
      <alignment horizontal="center" vertical="center"/>
    </xf>
    <xf numFmtId="0" fontId="1" fillId="0" borderId="31" xfId="3" applyBorder="1" applyAlignment="1">
      <alignment horizontal="center" vertical="center"/>
    </xf>
    <xf numFmtId="0" fontId="1" fillId="0" borderId="32" xfId="3" applyBorder="1" applyAlignment="1">
      <alignment horizontal="center" vertical="center"/>
    </xf>
    <xf numFmtId="0" fontId="1" fillId="0" borderId="33" xfId="3" applyBorder="1" applyAlignment="1">
      <alignment horizontal="center" vertical="center" shrinkToFit="1"/>
    </xf>
    <xf numFmtId="0" fontId="1" fillId="0" borderId="31" xfId="3" applyBorder="1" applyAlignment="1">
      <alignment horizontal="center" vertical="center" shrinkToFit="1"/>
    </xf>
    <xf numFmtId="0" fontId="1" fillId="0" borderId="34" xfId="3" applyBorder="1" applyAlignment="1">
      <alignment horizontal="center" vertical="center" shrinkToFit="1"/>
    </xf>
    <xf numFmtId="0" fontId="3" fillId="2" borderId="0" xfId="3" applyFont="1" applyFill="1" applyAlignment="1">
      <alignment horizontal="left" vertical="center"/>
    </xf>
    <xf numFmtId="178" fontId="1" fillId="0" borderId="33" xfId="3" applyNumberFormat="1" applyBorder="1" applyAlignment="1">
      <alignment horizontal="center" vertical="center" shrinkToFit="1"/>
    </xf>
    <xf numFmtId="0" fontId="3" fillId="0" borderId="0" xfId="3" applyFont="1" applyAlignment="1">
      <alignment horizontal="left" vertical="center"/>
    </xf>
    <xf numFmtId="178" fontId="1" fillId="2" borderId="33" xfId="3" applyNumberFormat="1" applyFill="1" applyBorder="1" applyAlignment="1">
      <alignment horizontal="center" vertical="center" shrinkToFit="1"/>
    </xf>
    <xf numFmtId="0" fontId="1" fillId="2" borderId="31" xfId="3" applyFill="1" applyBorder="1" applyAlignment="1">
      <alignment horizontal="center" vertical="center" shrinkToFit="1"/>
    </xf>
    <xf numFmtId="0" fontId="1" fillId="2" borderId="34" xfId="3" applyFill="1" applyBorder="1" applyAlignment="1">
      <alignment horizontal="center" vertical="center" shrinkToFit="1"/>
    </xf>
    <xf numFmtId="0" fontId="1" fillId="0" borderId="11" xfId="3" applyBorder="1" applyAlignment="1">
      <alignment horizontal="center" vertical="center"/>
    </xf>
    <xf numFmtId="0" fontId="1" fillId="0" borderId="12" xfId="3" applyBorder="1" applyAlignment="1">
      <alignment horizontal="center" vertical="center"/>
    </xf>
    <xf numFmtId="0" fontId="1" fillId="0" borderId="13" xfId="3" applyBorder="1" applyAlignment="1">
      <alignment horizontal="center" vertical="center"/>
    </xf>
    <xf numFmtId="0" fontId="1" fillId="0" borderId="14" xfId="3" applyBorder="1" applyAlignment="1">
      <alignment horizontal="center" vertical="center"/>
    </xf>
    <xf numFmtId="0" fontId="1" fillId="0" borderId="15" xfId="3" applyBorder="1" applyAlignment="1">
      <alignment horizontal="center" vertical="center"/>
    </xf>
    <xf numFmtId="0" fontId="1" fillId="0" borderId="16" xfId="3" applyBorder="1" applyAlignment="1">
      <alignment horizontal="center" vertical="center"/>
    </xf>
    <xf numFmtId="0" fontId="1" fillId="0" borderId="17" xfId="3" applyBorder="1" applyAlignment="1">
      <alignment horizontal="center" vertical="center"/>
    </xf>
    <xf numFmtId="0" fontId="8" fillId="0" borderId="19" xfId="3" applyFont="1" applyBorder="1" applyAlignment="1">
      <alignment horizontal="left" vertical="center"/>
    </xf>
    <xf numFmtId="0" fontId="9" fillId="0" borderId="19" xfId="3" applyFont="1" applyBorder="1" applyAlignment="1">
      <alignment horizontal="left" vertical="center"/>
    </xf>
    <xf numFmtId="41" fontId="10" fillId="0" borderId="19" xfId="4" applyFont="1" applyBorder="1" applyAlignment="1">
      <alignment horizontal="center" vertical="center"/>
    </xf>
    <xf numFmtId="0" fontId="1" fillId="0" borderId="26" xfId="3" applyBorder="1" applyAlignment="1">
      <alignment horizontal="center" vertical="center"/>
    </xf>
    <xf numFmtId="0" fontId="1" fillId="0" borderId="27" xfId="3" applyBorder="1" applyAlignment="1">
      <alignment horizontal="center" vertical="center" shrinkToFit="1"/>
    </xf>
    <xf numFmtId="0" fontId="1" fillId="0" borderId="25" xfId="3" applyBorder="1" applyAlignment="1">
      <alignment horizontal="center" vertical="center" shrinkToFit="1"/>
    </xf>
    <xf numFmtId="0" fontId="1" fillId="0" borderId="28" xfId="3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0" fontId="4" fillId="0" borderId="2" xfId="3" applyFont="1" applyBorder="1" applyAlignment="1">
      <alignment horizontal="left" vertical="center"/>
    </xf>
    <xf numFmtId="0" fontId="1" fillId="0" borderId="3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8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1" fillId="0" borderId="10" xfId="3" applyBorder="1" applyAlignment="1">
      <alignment horizontal="center" vertical="center"/>
    </xf>
    <xf numFmtId="0" fontId="0" fillId="2" borderId="11" xfId="3" applyFont="1" applyFill="1" applyBorder="1" applyAlignment="1">
      <alignment horizontal="center" vertical="center"/>
    </xf>
    <xf numFmtId="0" fontId="1" fillId="2" borderId="11" xfId="3" applyFill="1" applyBorder="1" applyAlignment="1">
      <alignment horizontal="center" vertical="center"/>
    </xf>
    <xf numFmtId="0" fontId="10" fillId="0" borderId="41" xfId="3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0" fontId="10" fillId="0" borderId="43" xfId="3" applyFont="1" applyBorder="1" applyAlignment="1">
      <alignment horizontal="center" vertical="center"/>
    </xf>
  </cellXfs>
  <cellStyles count="13">
    <cellStyle name="Comma [0]_laroux" xfId="5" xr:uid="{00000000-0005-0000-0000-000000000000}"/>
    <cellStyle name="Comma_laroux" xfId="6" xr:uid="{00000000-0005-0000-0000-000001000000}"/>
    <cellStyle name="Currency [0]_laroux" xfId="7" xr:uid="{00000000-0005-0000-0000-000002000000}"/>
    <cellStyle name="Currency_laroux" xfId="8" xr:uid="{00000000-0005-0000-0000-000003000000}"/>
    <cellStyle name="Normal_Certs Q2" xfId="9" xr:uid="{00000000-0005-0000-0000-000004000000}"/>
    <cellStyle name="쉼표 [0]" xfId="1" builtinId="6"/>
    <cellStyle name="쉼표 [0] 2" xfId="4" xr:uid="{00000000-0005-0000-0000-000006000000}"/>
    <cellStyle name="스타일 1" xfId="10" xr:uid="{00000000-0005-0000-0000-000007000000}"/>
    <cellStyle name="콤마 [0]_전체현황981027" xfId="11" xr:uid="{00000000-0005-0000-0000-000008000000}"/>
    <cellStyle name="콤마_전체현황981027" xfId="12" xr:uid="{00000000-0005-0000-0000-000009000000}"/>
    <cellStyle name="표준" xfId="0" builtinId="0"/>
    <cellStyle name="표준 2" xfId="3" xr:uid="{00000000-0005-0000-0000-00000B000000}"/>
    <cellStyle name="표준_업무경비 사용내역서(2008)" xfId="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1</xdr:row>
      <xdr:rowOff>23089</xdr:rowOff>
    </xdr:from>
    <xdr:to>
      <xdr:col>5</xdr:col>
      <xdr:colOff>710026</xdr:colOff>
      <xdr:row>49</xdr:row>
      <xdr:rowOff>53329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5D5D6E8-0B4C-F6FA-5BB7-D95C3D123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94539"/>
          <a:ext cx="4320000" cy="8259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36"/>
  <sheetViews>
    <sheetView showGridLines="0" tabSelected="1" workbookViewId="0">
      <selection activeCell="C9" sqref="C9:P9"/>
    </sheetView>
  </sheetViews>
  <sheetFormatPr defaultRowHeight="13.5"/>
  <cols>
    <col min="1" max="1" width="0.77734375" style="1" customWidth="1"/>
    <col min="2" max="2" width="1" style="1" customWidth="1"/>
    <col min="3" max="3" width="12.21875" style="1" customWidth="1"/>
    <col min="4" max="4" width="0.6640625" style="1" customWidth="1"/>
    <col min="5" max="5" width="42.5546875" style="1" customWidth="1"/>
    <col min="6" max="20" width="1.77734375" style="1" customWidth="1"/>
    <col min="21" max="21" width="2.44140625" style="1" bestFit="1" customWidth="1"/>
    <col min="22" max="28" width="1.77734375" style="1" customWidth="1"/>
    <col min="29" max="29" width="5.109375" style="1" customWidth="1"/>
    <col min="30" max="256" width="8.88671875" style="1"/>
    <col min="257" max="257" width="0.77734375" style="1" customWidth="1"/>
    <col min="258" max="258" width="1" style="1" customWidth="1"/>
    <col min="259" max="259" width="12.21875" style="1" customWidth="1"/>
    <col min="260" max="260" width="0.6640625" style="1" customWidth="1"/>
    <col min="261" max="261" width="22.88671875" style="1" customWidth="1"/>
    <col min="262" max="276" width="1.77734375" style="1" customWidth="1"/>
    <col min="277" max="277" width="2.44140625" style="1" bestFit="1" customWidth="1"/>
    <col min="278" max="285" width="1.77734375" style="1" customWidth="1"/>
    <col min="286" max="512" width="8.88671875" style="1"/>
    <col min="513" max="513" width="0.77734375" style="1" customWidth="1"/>
    <col min="514" max="514" width="1" style="1" customWidth="1"/>
    <col min="515" max="515" width="12.21875" style="1" customWidth="1"/>
    <col min="516" max="516" width="0.6640625" style="1" customWidth="1"/>
    <col min="517" max="517" width="22.88671875" style="1" customWidth="1"/>
    <col min="518" max="532" width="1.77734375" style="1" customWidth="1"/>
    <col min="533" max="533" width="2.44140625" style="1" bestFit="1" customWidth="1"/>
    <col min="534" max="541" width="1.77734375" style="1" customWidth="1"/>
    <col min="542" max="768" width="8.88671875" style="1"/>
    <col min="769" max="769" width="0.77734375" style="1" customWidth="1"/>
    <col min="770" max="770" width="1" style="1" customWidth="1"/>
    <col min="771" max="771" width="12.21875" style="1" customWidth="1"/>
    <col min="772" max="772" width="0.6640625" style="1" customWidth="1"/>
    <col min="773" max="773" width="22.88671875" style="1" customWidth="1"/>
    <col min="774" max="788" width="1.77734375" style="1" customWidth="1"/>
    <col min="789" max="789" width="2.44140625" style="1" bestFit="1" customWidth="1"/>
    <col min="790" max="797" width="1.77734375" style="1" customWidth="1"/>
    <col min="798" max="1024" width="8.88671875" style="1"/>
    <col min="1025" max="1025" width="0.77734375" style="1" customWidth="1"/>
    <col min="1026" max="1026" width="1" style="1" customWidth="1"/>
    <col min="1027" max="1027" width="12.21875" style="1" customWidth="1"/>
    <col min="1028" max="1028" width="0.6640625" style="1" customWidth="1"/>
    <col min="1029" max="1029" width="22.88671875" style="1" customWidth="1"/>
    <col min="1030" max="1044" width="1.77734375" style="1" customWidth="1"/>
    <col min="1045" max="1045" width="2.44140625" style="1" bestFit="1" customWidth="1"/>
    <col min="1046" max="1053" width="1.77734375" style="1" customWidth="1"/>
    <col min="1054" max="1280" width="8.88671875" style="1"/>
    <col min="1281" max="1281" width="0.77734375" style="1" customWidth="1"/>
    <col min="1282" max="1282" width="1" style="1" customWidth="1"/>
    <col min="1283" max="1283" width="12.21875" style="1" customWidth="1"/>
    <col min="1284" max="1284" width="0.6640625" style="1" customWidth="1"/>
    <col min="1285" max="1285" width="22.88671875" style="1" customWidth="1"/>
    <col min="1286" max="1300" width="1.77734375" style="1" customWidth="1"/>
    <col min="1301" max="1301" width="2.44140625" style="1" bestFit="1" customWidth="1"/>
    <col min="1302" max="1309" width="1.77734375" style="1" customWidth="1"/>
    <col min="1310" max="1536" width="8.88671875" style="1"/>
    <col min="1537" max="1537" width="0.77734375" style="1" customWidth="1"/>
    <col min="1538" max="1538" width="1" style="1" customWidth="1"/>
    <col min="1539" max="1539" width="12.21875" style="1" customWidth="1"/>
    <col min="1540" max="1540" width="0.6640625" style="1" customWidth="1"/>
    <col min="1541" max="1541" width="22.88671875" style="1" customWidth="1"/>
    <col min="1542" max="1556" width="1.77734375" style="1" customWidth="1"/>
    <col min="1557" max="1557" width="2.44140625" style="1" bestFit="1" customWidth="1"/>
    <col min="1558" max="1565" width="1.77734375" style="1" customWidth="1"/>
    <col min="1566" max="1792" width="8.88671875" style="1"/>
    <col min="1793" max="1793" width="0.77734375" style="1" customWidth="1"/>
    <col min="1794" max="1794" width="1" style="1" customWidth="1"/>
    <col min="1795" max="1795" width="12.21875" style="1" customWidth="1"/>
    <col min="1796" max="1796" width="0.6640625" style="1" customWidth="1"/>
    <col min="1797" max="1797" width="22.88671875" style="1" customWidth="1"/>
    <col min="1798" max="1812" width="1.77734375" style="1" customWidth="1"/>
    <col min="1813" max="1813" width="2.44140625" style="1" bestFit="1" customWidth="1"/>
    <col min="1814" max="1821" width="1.77734375" style="1" customWidth="1"/>
    <col min="1822" max="2048" width="8.88671875" style="1"/>
    <col min="2049" max="2049" width="0.77734375" style="1" customWidth="1"/>
    <col min="2050" max="2050" width="1" style="1" customWidth="1"/>
    <col min="2051" max="2051" width="12.21875" style="1" customWidth="1"/>
    <col min="2052" max="2052" width="0.6640625" style="1" customWidth="1"/>
    <col min="2053" max="2053" width="22.88671875" style="1" customWidth="1"/>
    <col min="2054" max="2068" width="1.77734375" style="1" customWidth="1"/>
    <col min="2069" max="2069" width="2.44140625" style="1" bestFit="1" customWidth="1"/>
    <col min="2070" max="2077" width="1.77734375" style="1" customWidth="1"/>
    <col min="2078" max="2304" width="8.88671875" style="1"/>
    <col min="2305" max="2305" width="0.77734375" style="1" customWidth="1"/>
    <col min="2306" max="2306" width="1" style="1" customWidth="1"/>
    <col min="2307" max="2307" width="12.21875" style="1" customWidth="1"/>
    <col min="2308" max="2308" width="0.6640625" style="1" customWidth="1"/>
    <col min="2309" max="2309" width="22.88671875" style="1" customWidth="1"/>
    <col min="2310" max="2324" width="1.77734375" style="1" customWidth="1"/>
    <col min="2325" max="2325" width="2.44140625" style="1" bestFit="1" customWidth="1"/>
    <col min="2326" max="2333" width="1.77734375" style="1" customWidth="1"/>
    <col min="2334" max="2560" width="8.88671875" style="1"/>
    <col min="2561" max="2561" width="0.77734375" style="1" customWidth="1"/>
    <col min="2562" max="2562" width="1" style="1" customWidth="1"/>
    <col min="2563" max="2563" width="12.21875" style="1" customWidth="1"/>
    <col min="2564" max="2564" width="0.6640625" style="1" customWidth="1"/>
    <col min="2565" max="2565" width="22.88671875" style="1" customWidth="1"/>
    <col min="2566" max="2580" width="1.77734375" style="1" customWidth="1"/>
    <col min="2581" max="2581" width="2.44140625" style="1" bestFit="1" customWidth="1"/>
    <col min="2582" max="2589" width="1.77734375" style="1" customWidth="1"/>
    <col min="2590" max="2816" width="8.88671875" style="1"/>
    <col min="2817" max="2817" width="0.77734375" style="1" customWidth="1"/>
    <col min="2818" max="2818" width="1" style="1" customWidth="1"/>
    <col min="2819" max="2819" width="12.21875" style="1" customWidth="1"/>
    <col min="2820" max="2820" width="0.6640625" style="1" customWidth="1"/>
    <col min="2821" max="2821" width="22.88671875" style="1" customWidth="1"/>
    <col min="2822" max="2836" width="1.77734375" style="1" customWidth="1"/>
    <col min="2837" max="2837" width="2.44140625" style="1" bestFit="1" customWidth="1"/>
    <col min="2838" max="2845" width="1.77734375" style="1" customWidth="1"/>
    <col min="2846" max="3072" width="8.88671875" style="1"/>
    <col min="3073" max="3073" width="0.77734375" style="1" customWidth="1"/>
    <col min="3074" max="3074" width="1" style="1" customWidth="1"/>
    <col min="3075" max="3075" width="12.21875" style="1" customWidth="1"/>
    <col min="3076" max="3076" width="0.6640625" style="1" customWidth="1"/>
    <col min="3077" max="3077" width="22.88671875" style="1" customWidth="1"/>
    <col min="3078" max="3092" width="1.77734375" style="1" customWidth="1"/>
    <col min="3093" max="3093" width="2.44140625" style="1" bestFit="1" customWidth="1"/>
    <col min="3094" max="3101" width="1.77734375" style="1" customWidth="1"/>
    <col min="3102" max="3328" width="8.88671875" style="1"/>
    <col min="3329" max="3329" width="0.77734375" style="1" customWidth="1"/>
    <col min="3330" max="3330" width="1" style="1" customWidth="1"/>
    <col min="3331" max="3331" width="12.21875" style="1" customWidth="1"/>
    <col min="3332" max="3332" width="0.6640625" style="1" customWidth="1"/>
    <col min="3333" max="3333" width="22.88671875" style="1" customWidth="1"/>
    <col min="3334" max="3348" width="1.77734375" style="1" customWidth="1"/>
    <col min="3349" max="3349" width="2.44140625" style="1" bestFit="1" customWidth="1"/>
    <col min="3350" max="3357" width="1.77734375" style="1" customWidth="1"/>
    <col min="3358" max="3584" width="8.88671875" style="1"/>
    <col min="3585" max="3585" width="0.77734375" style="1" customWidth="1"/>
    <col min="3586" max="3586" width="1" style="1" customWidth="1"/>
    <col min="3587" max="3587" width="12.21875" style="1" customWidth="1"/>
    <col min="3588" max="3588" width="0.6640625" style="1" customWidth="1"/>
    <col min="3589" max="3589" width="22.88671875" style="1" customWidth="1"/>
    <col min="3590" max="3604" width="1.77734375" style="1" customWidth="1"/>
    <col min="3605" max="3605" width="2.44140625" style="1" bestFit="1" customWidth="1"/>
    <col min="3606" max="3613" width="1.77734375" style="1" customWidth="1"/>
    <col min="3614" max="3840" width="8.88671875" style="1"/>
    <col min="3841" max="3841" width="0.77734375" style="1" customWidth="1"/>
    <col min="3842" max="3842" width="1" style="1" customWidth="1"/>
    <col min="3843" max="3843" width="12.21875" style="1" customWidth="1"/>
    <col min="3844" max="3844" width="0.6640625" style="1" customWidth="1"/>
    <col min="3845" max="3845" width="22.88671875" style="1" customWidth="1"/>
    <col min="3846" max="3860" width="1.77734375" style="1" customWidth="1"/>
    <col min="3861" max="3861" width="2.44140625" style="1" bestFit="1" customWidth="1"/>
    <col min="3862" max="3869" width="1.77734375" style="1" customWidth="1"/>
    <col min="3870" max="4096" width="8.88671875" style="1"/>
    <col min="4097" max="4097" width="0.77734375" style="1" customWidth="1"/>
    <col min="4098" max="4098" width="1" style="1" customWidth="1"/>
    <col min="4099" max="4099" width="12.21875" style="1" customWidth="1"/>
    <col min="4100" max="4100" width="0.6640625" style="1" customWidth="1"/>
    <col min="4101" max="4101" width="22.88671875" style="1" customWidth="1"/>
    <col min="4102" max="4116" width="1.77734375" style="1" customWidth="1"/>
    <col min="4117" max="4117" width="2.44140625" style="1" bestFit="1" customWidth="1"/>
    <col min="4118" max="4125" width="1.77734375" style="1" customWidth="1"/>
    <col min="4126" max="4352" width="8.88671875" style="1"/>
    <col min="4353" max="4353" width="0.77734375" style="1" customWidth="1"/>
    <col min="4354" max="4354" width="1" style="1" customWidth="1"/>
    <col min="4355" max="4355" width="12.21875" style="1" customWidth="1"/>
    <col min="4356" max="4356" width="0.6640625" style="1" customWidth="1"/>
    <col min="4357" max="4357" width="22.88671875" style="1" customWidth="1"/>
    <col min="4358" max="4372" width="1.77734375" style="1" customWidth="1"/>
    <col min="4373" max="4373" width="2.44140625" style="1" bestFit="1" customWidth="1"/>
    <col min="4374" max="4381" width="1.77734375" style="1" customWidth="1"/>
    <col min="4382" max="4608" width="8.88671875" style="1"/>
    <col min="4609" max="4609" width="0.77734375" style="1" customWidth="1"/>
    <col min="4610" max="4610" width="1" style="1" customWidth="1"/>
    <col min="4611" max="4611" width="12.21875" style="1" customWidth="1"/>
    <col min="4612" max="4612" width="0.6640625" style="1" customWidth="1"/>
    <col min="4613" max="4613" width="22.88671875" style="1" customWidth="1"/>
    <col min="4614" max="4628" width="1.77734375" style="1" customWidth="1"/>
    <col min="4629" max="4629" width="2.44140625" style="1" bestFit="1" customWidth="1"/>
    <col min="4630" max="4637" width="1.77734375" style="1" customWidth="1"/>
    <col min="4638" max="4864" width="8.88671875" style="1"/>
    <col min="4865" max="4865" width="0.77734375" style="1" customWidth="1"/>
    <col min="4866" max="4866" width="1" style="1" customWidth="1"/>
    <col min="4867" max="4867" width="12.21875" style="1" customWidth="1"/>
    <col min="4868" max="4868" width="0.6640625" style="1" customWidth="1"/>
    <col min="4869" max="4869" width="22.88671875" style="1" customWidth="1"/>
    <col min="4870" max="4884" width="1.77734375" style="1" customWidth="1"/>
    <col min="4885" max="4885" width="2.44140625" style="1" bestFit="1" customWidth="1"/>
    <col min="4886" max="4893" width="1.77734375" style="1" customWidth="1"/>
    <col min="4894" max="5120" width="8.88671875" style="1"/>
    <col min="5121" max="5121" width="0.77734375" style="1" customWidth="1"/>
    <col min="5122" max="5122" width="1" style="1" customWidth="1"/>
    <col min="5123" max="5123" width="12.21875" style="1" customWidth="1"/>
    <col min="5124" max="5124" width="0.6640625" style="1" customWidth="1"/>
    <col min="5125" max="5125" width="22.88671875" style="1" customWidth="1"/>
    <col min="5126" max="5140" width="1.77734375" style="1" customWidth="1"/>
    <col min="5141" max="5141" width="2.44140625" style="1" bestFit="1" customWidth="1"/>
    <col min="5142" max="5149" width="1.77734375" style="1" customWidth="1"/>
    <col min="5150" max="5376" width="8.88671875" style="1"/>
    <col min="5377" max="5377" width="0.77734375" style="1" customWidth="1"/>
    <col min="5378" max="5378" width="1" style="1" customWidth="1"/>
    <col min="5379" max="5379" width="12.21875" style="1" customWidth="1"/>
    <col min="5380" max="5380" width="0.6640625" style="1" customWidth="1"/>
    <col min="5381" max="5381" width="22.88671875" style="1" customWidth="1"/>
    <col min="5382" max="5396" width="1.77734375" style="1" customWidth="1"/>
    <col min="5397" max="5397" width="2.44140625" style="1" bestFit="1" customWidth="1"/>
    <col min="5398" max="5405" width="1.77734375" style="1" customWidth="1"/>
    <col min="5406" max="5632" width="8.88671875" style="1"/>
    <col min="5633" max="5633" width="0.77734375" style="1" customWidth="1"/>
    <col min="5634" max="5634" width="1" style="1" customWidth="1"/>
    <col min="5635" max="5635" width="12.21875" style="1" customWidth="1"/>
    <col min="5636" max="5636" width="0.6640625" style="1" customWidth="1"/>
    <col min="5637" max="5637" width="22.88671875" style="1" customWidth="1"/>
    <col min="5638" max="5652" width="1.77734375" style="1" customWidth="1"/>
    <col min="5653" max="5653" width="2.44140625" style="1" bestFit="1" customWidth="1"/>
    <col min="5654" max="5661" width="1.77734375" style="1" customWidth="1"/>
    <col min="5662" max="5888" width="8.88671875" style="1"/>
    <col min="5889" max="5889" width="0.77734375" style="1" customWidth="1"/>
    <col min="5890" max="5890" width="1" style="1" customWidth="1"/>
    <col min="5891" max="5891" width="12.21875" style="1" customWidth="1"/>
    <col min="5892" max="5892" width="0.6640625" style="1" customWidth="1"/>
    <col min="5893" max="5893" width="22.88671875" style="1" customWidth="1"/>
    <col min="5894" max="5908" width="1.77734375" style="1" customWidth="1"/>
    <col min="5909" max="5909" width="2.44140625" style="1" bestFit="1" customWidth="1"/>
    <col min="5910" max="5917" width="1.77734375" style="1" customWidth="1"/>
    <col min="5918" max="6144" width="8.88671875" style="1"/>
    <col min="6145" max="6145" width="0.77734375" style="1" customWidth="1"/>
    <col min="6146" max="6146" width="1" style="1" customWidth="1"/>
    <col min="6147" max="6147" width="12.21875" style="1" customWidth="1"/>
    <col min="6148" max="6148" width="0.6640625" style="1" customWidth="1"/>
    <col min="6149" max="6149" width="22.88671875" style="1" customWidth="1"/>
    <col min="6150" max="6164" width="1.77734375" style="1" customWidth="1"/>
    <col min="6165" max="6165" width="2.44140625" style="1" bestFit="1" customWidth="1"/>
    <col min="6166" max="6173" width="1.77734375" style="1" customWidth="1"/>
    <col min="6174" max="6400" width="8.88671875" style="1"/>
    <col min="6401" max="6401" width="0.77734375" style="1" customWidth="1"/>
    <col min="6402" max="6402" width="1" style="1" customWidth="1"/>
    <col min="6403" max="6403" width="12.21875" style="1" customWidth="1"/>
    <col min="6404" max="6404" width="0.6640625" style="1" customWidth="1"/>
    <col min="6405" max="6405" width="22.88671875" style="1" customWidth="1"/>
    <col min="6406" max="6420" width="1.77734375" style="1" customWidth="1"/>
    <col min="6421" max="6421" width="2.44140625" style="1" bestFit="1" customWidth="1"/>
    <col min="6422" max="6429" width="1.77734375" style="1" customWidth="1"/>
    <col min="6430" max="6656" width="8.88671875" style="1"/>
    <col min="6657" max="6657" width="0.77734375" style="1" customWidth="1"/>
    <col min="6658" max="6658" width="1" style="1" customWidth="1"/>
    <col min="6659" max="6659" width="12.21875" style="1" customWidth="1"/>
    <col min="6660" max="6660" width="0.6640625" style="1" customWidth="1"/>
    <col min="6661" max="6661" width="22.88671875" style="1" customWidth="1"/>
    <col min="6662" max="6676" width="1.77734375" style="1" customWidth="1"/>
    <col min="6677" max="6677" width="2.44140625" style="1" bestFit="1" customWidth="1"/>
    <col min="6678" max="6685" width="1.77734375" style="1" customWidth="1"/>
    <col min="6686" max="6912" width="8.88671875" style="1"/>
    <col min="6913" max="6913" width="0.77734375" style="1" customWidth="1"/>
    <col min="6914" max="6914" width="1" style="1" customWidth="1"/>
    <col min="6915" max="6915" width="12.21875" style="1" customWidth="1"/>
    <col min="6916" max="6916" width="0.6640625" style="1" customWidth="1"/>
    <col min="6917" max="6917" width="22.88671875" style="1" customWidth="1"/>
    <col min="6918" max="6932" width="1.77734375" style="1" customWidth="1"/>
    <col min="6933" max="6933" width="2.44140625" style="1" bestFit="1" customWidth="1"/>
    <col min="6934" max="6941" width="1.77734375" style="1" customWidth="1"/>
    <col min="6942" max="7168" width="8.88671875" style="1"/>
    <col min="7169" max="7169" width="0.77734375" style="1" customWidth="1"/>
    <col min="7170" max="7170" width="1" style="1" customWidth="1"/>
    <col min="7171" max="7171" width="12.21875" style="1" customWidth="1"/>
    <col min="7172" max="7172" width="0.6640625" style="1" customWidth="1"/>
    <col min="7173" max="7173" width="22.88671875" style="1" customWidth="1"/>
    <col min="7174" max="7188" width="1.77734375" style="1" customWidth="1"/>
    <col min="7189" max="7189" width="2.44140625" style="1" bestFit="1" customWidth="1"/>
    <col min="7190" max="7197" width="1.77734375" style="1" customWidth="1"/>
    <col min="7198" max="7424" width="8.88671875" style="1"/>
    <col min="7425" max="7425" width="0.77734375" style="1" customWidth="1"/>
    <col min="7426" max="7426" width="1" style="1" customWidth="1"/>
    <col min="7427" max="7427" width="12.21875" style="1" customWidth="1"/>
    <col min="7428" max="7428" width="0.6640625" style="1" customWidth="1"/>
    <col min="7429" max="7429" width="22.88671875" style="1" customWidth="1"/>
    <col min="7430" max="7444" width="1.77734375" style="1" customWidth="1"/>
    <col min="7445" max="7445" width="2.44140625" style="1" bestFit="1" customWidth="1"/>
    <col min="7446" max="7453" width="1.77734375" style="1" customWidth="1"/>
    <col min="7454" max="7680" width="8.88671875" style="1"/>
    <col min="7681" max="7681" width="0.77734375" style="1" customWidth="1"/>
    <col min="7682" max="7682" width="1" style="1" customWidth="1"/>
    <col min="7683" max="7683" width="12.21875" style="1" customWidth="1"/>
    <col min="7684" max="7684" width="0.6640625" style="1" customWidth="1"/>
    <col min="7685" max="7685" width="22.88671875" style="1" customWidth="1"/>
    <col min="7686" max="7700" width="1.77734375" style="1" customWidth="1"/>
    <col min="7701" max="7701" width="2.44140625" style="1" bestFit="1" customWidth="1"/>
    <col min="7702" max="7709" width="1.77734375" style="1" customWidth="1"/>
    <col min="7710" max="7936" width="8.88671875" style="1"/>
    <col min="7937" max="7937" width="0.77734375" style="1" customWidth="1"/>
    <col min="7938" max="7938" width="1" style="1" customWidth="1"/>
    <col min="7939" max="7939" width="12.21875" style="1" customWidth="1"/>
    <col min="7940" max="7940" width="0.6640625" style="1" customWidth="1"/>
    <col min="7941" max="7941" width="22.88671875" style="1" customWidth="1"/>
    <col min="7942" max="7956" width="1.77734375" style="1" customWidth="1"/>
    <col min="7957" max="7957" width="2.44140625" style="1" bestFit="1" customWidth="1"/>
    <col min="7958" max="7965" width="1.77734375" style="1" customWidth="1"/>
    <col min="7966" max="8192" width="8.88671875" style="1"/>
    <col min="8193" max="8193" width="0.77734375" style="1" customWidth="1"/>
    <col min="8194" max="8194" width="1" style="1" customWidth="1"/>
    <col min="8195" max="8195" width="12.21875" style="1" customWidth="1"/>
    <col min="8196" max="8196" width="0.6640625" style="1" customWidth="1"/>
    <col min="8197" max="8197" width="22.88671875" style="1" customWidth="1"/>
    <col min="8198" max="8212" width="1.77734375" style="1" customWidth="1"/>
    <col min="8213" max="8213" width="2.44140625" style="1" bestFit="1" customWidth="1"/>
    <col min="8214" max="8221" width="1.77734375" style="1" customWidth="1"/>
    <col min="8222" max="8448" width="8.88671875" style="1"/>
    <col min="8449" max="8449" width="0.77734375" style="1" customWidth="1"/>
    <col min="8450" max="8450" width="1" style="1" customWidth="1"/>
    <col min="8451" max="8451" width="12.21875" style="1" customWidth="1"/>
    <col min="8452" max="8452" width="0.6640625" style="1" customWidth="1"/>
    <col min="8453" max="8453" width="22.88671875" style="1" customWidth="1"/>
    <col min="8454" max="8468" width="1.77734375" style="1" customWidth="1"/>
    <col min="8469" max="8469" width="2.44140625" style="1" bestFit="1" customWidth="1"/>
    <col min="8470" max="8477" width="1.77734375" style="1" customWidth="1"/>
    <col min="8478" max="8704" width="8.88671875" style="1"/>
    <col min="8705" max="8705" width="0.77734375" style="1" customWidth="1"/>
    <col min="8706" max="8706" width="1" style="1" customWidth="1"/>
    <col min="8707" max="8707" width="12.21875" style="1" customWidth="1"/>
    <col min="8708" max="8708" width="0.6640625" style="1" customWidth="1"/>
    <col min="8709" max="8709" width="22.88671875" style="1" customWidth="1"/>
    <col min="8710" max="8724" width="1.77734375" style="1" customWidth="1"/>
    <col min="8725" max="8725" width="2.44140625" style="1" bestFit="1" customWidth="1"/>
    <col min="8726" max="8733" width="1.77734375" style="1" customWidth="1"/>
    <col min="8734" max="8960" width="8.88671875" style="1"/>
    <col min="8961" max="8961" width="0.77734375" style="1" customWidth="1"/>
    <col min="8962" max="8962" width="1" style="1" customWidth="1"/>
    <col min="8963" max="8963" width="12.21875" style="1" customWidth="1"/>
    <col min="8964" max="8964" width="0.6640625" style="1" customWidth="1"/>
    <col min="8965" max="8965" width="22.88671875" style="1" customWidth="1"/>
    <col min="8966" max="8980" width="1.77734375" style="1" customWidth="1"/>
    <col min="8981" max="8981" width="2.44140625" style="1" bestFit="1" customWidth="1"/>
    <col min="8982" max="8989" width="1.77734375" style="1" customWidth="1"/>
    <col min="8990" max="9216" width="8.88671875" style="1"/>
    <col min="9217" max="9217" width="0.77734375" style="1" customWidth="1"/>
    <col min="9218" max="9218" width="1" style="1" customWidth="1"/>
    <col min="9219" max="9219" width="12.21875" style="1" customWidth="1"/>
    <col min="9220" max="9220" width="0.6640625" style="1" customWidth="1"/>
    <col min="9221" max="9221" width="22.88671875" style="1" customWidth="1"/>
    <col min="9222" max="9236" width="1.77734375" style="1" customWidth="1"/>
    <col min="9237" max="9237" width="2.44140625" style="1" bestFit="1" customWidth="1"/>
    <col min="9238" max="9245" width="1.77734375" style="1" customWidth="1"/>
    <col min="9246" max="9472" width="8.88671875" style="1"/>
    <col min="9473" max="9473" width="0.77734375" style="1" customWidth="1"/>
    <col min="9474" max="9474" width="1" style="1" customWidth="1"/>
    <col min="9475" max="9475" width="12.21875" style="1" customWidth="1"/>
    <col min="9476" max="9476" width="0.6640625" style="1" customWidth="1"/>
    <col min="9477" max="9477" width="22.88671875" style="1" customWidth="1"/>
    <col min="9478" max="9492" width="1.77734375" style="1" customWidth="1"/>
    <col min="9493" max="9493" width="2.44140625" style="1" bestFit="1" customWidth="1"/>
    <col min="9494" max="9501" width="1.77734375" style="1" customWidth="1"/>
    <col min="9502" max="9728" width="8.88671875" style="1"/>
    <col min="9729" max="9729" width="0.77734375" style="1" customWidth="1"/>
    <col min="9730" max="9730" width="1" style="1" customWidth="1"/>
    <col min="9731" max="9731" width="12.21875" style="1" customWidth="1"/>
    <col min="9732" max="9732" width="0.6640625" style="1" customWidth="1"/>
    <col min="9733" max="9733" width="22.88671875" style="1" customWidth="1"/>
    <col min="9734" max="9748" width="1.77734375" style="1" customWidth="1"/>
    <col min="9749" max="9749" width="2.44140625" style="1" bestFit="1" customWidth="1"/>
    <col min="9750" max="9757" width="1.77734375" style="1" customWidth="1"/>
    <col min="9758" max="9984" width="8.88671875" style="1"/>
    <col min="9985" max="9985" width="0.77734375" style="1" customWidth="1"/>
    <col min="9986" max="9986" width="1" style="1" customWidth="1"/>
    <col min="9987" max="9987" width="12.21875" style="1" customWidth="1"/>
    <col min="9988" max="9988" width="0.6640625" style="1" customWidth="1"/>
    <col min="9989" max="9989" width="22.88671875" style="1" customWidth="1"/>
    <col min="9990" max="10004" width="1.77734375" style="1" customWidth="1"/>
    <col min="10005" max="10005" width="2.44140625" style="1" bestFit="1" customWidth="1"/>
    <col min="10006" max="10013" width="1.77734375" style="1" customWidth="1"/>
    <col min="10014" max="10240" width="8.88671875" style="1"/>
    <col min="10241" max="10241" width="0.77734375" style="1" customWidth="1"/>
    <col min="10242" max="10242" width="1" style="1" customWidth="1"/>
    <col min="10243" max="10243" width="12.21875" style="1" customWidth="1"/>
    <col min="10244" max="10244" width="0.6640625" style="1" customWidth="1"/>
    <col min="10245" max="10245" width="22.88671875" style="1" customWidth="1"/>
    <col min="10246" max="10260" width="1.77734375" style="1" customWidth="1"/>
    <col min="10261" max="10261" width="2.44140625" style="1" bestFit="1" customWidth="1"/>
    <col min="10262" max="10269" width="1.77734375" style="1" customWidth="1"/>
    <col min="10270" max="10496" width="8.88671875" style="1"/>
    <col min="10497" max="10497" width="0.77734375" style="1" customWidth="1"/>
    <col min="10498" max="10498" width="1" style="1" customWidth="1"/>
    <col min="10499" max="10499" width="12.21875" style="1" customWidth="1"/>
    <col min="10500" max="10500" width="0.6640625" style="1" customWidth="1"/>
    <col min="10501" max="10501" width="22.88671875" style="1" customWidth="1"/>
    <col min="10502" max="10516" width="1.77734375" style="1" customWidth="1"/>
    <col min="10517" max="10517" width="2.44140625" style="1" bestFit="1" customWidth="1"/>
    <col min="10518" max="10525" width="1.77734375" style="1" customWidth="1"/>
    <col min="10526" max="10752" width="8.88671875" style="1"/>
    <col min="10753" max="10753" width="0.77734375" style="1" customWidth="1"/>
    <col min="10754" max="10754" width="1" style="1" customWidth="1"/>
    <col min="10755" max="10755" width="12.21875" style="1" customWidth="1"/>
    <col min="10756" max="10756" width="0.6640625" style="1" customWidth="1"/>
    <col min="10757" max="10757" width="22.88671875" style="1" customWidth="1"/>
    <col min="10758" max="10772" width="1.77734375" style="1" customWidth="1"/>
    <col min="10773" max="10773" width="2.44140625" style="1" bestFit="1" customWidth="1"/>
    <col min="10774" max="10781" width="1.77734375" style="1" customWidth="1"/>
    <col min="10782" max="11008" width="8.88671875" style="1"/>
    <col min="11009" max="11009" width="0.77734375" style="1" customWidth="1"/>
    <col min="11010" max="11010" width="1" style="1" customWidth="1"/>
    <col min="11011" max="11011" width="12.21875" style="1" customWidth="1"/>
    <col min="11012" max="11012" width="0.6640625" style="1" customWidth="1"/>
    <col min="11013" max="11013" width="22.88671875" style="1" customWidth="1"/>
    <col min="11014" max="11028" width="1.77734375" style="1" customWidth="1"/>
    <col min="11029" max="11029" width="2.44140625" style="1" bestFit="1" customWidth="1"/>
    <col min="11030" max="11037" width="1.77734375" style="1" customWidth="1"/>
    <col min="11038" max="11264" width="8.88671875" style="1"/>
    <col min="11265" max="11265" width="0.77734375" style="1" customWidth="1"/>
    <col min="11266" max="11266" width="1" style="1" customWidth="1"/>
    <col min="11267" max="11267" width="12.21875" style="1" customWidth="1"/>
    <col min="11268" max="11268" width="0.6640625" style="1" customWidth="1"/>
    <col min="11269" max="11269" width="22.88671875" style="1" customWidth="1"/>
    <col min="11270" max="11284" width="1.77734375" style="1" customWidth="1"/>
    <col min="11285" max="11285" width="2.44140625" style="1" bestFit="1" customWidth="1"/>
    <col min="11286" max="11293" width="1.77734375" style="1" customWidth="1"/>
    <col min="11294" max="11520" width="8.88671875" style="1"/>
    <col min="11521" max="11521" width="0.77734375" style="1" customWidth="1"/>
    <col min="11522" max="11522" width="1" style="1" customWidth="1"/>
    <col min="11523" max="11523" width="12.21875" style="1" customWidth="1"/>
    <col min="11524" max="11524" width="0.6640625" style="1" customWidth="1"/>
    <col min="11525" max="11525" width="22.88671875" style="1" customWidth="1"/>
    <col min="11526" max="11540" width="1.77734375" style="1" customWidth="1"/>
    <col min="11541" max="11541" width="2.44140625" style="1" bestFit="1" customWidth="1"/>
    <col min="11542" max="11549" width="1.77734375" style="1" customWidth="1"/>
    <col min="11550" max="11776" width="8.88671875" style="1"/>
    <col min="11777" max="11777" width="0.77734375" style="1" customWidth="1"/>
    <col min="11778" max="11778" width="1" style="1" customWidth="1"/>
    <col min="11779" max="11779" width="12.21875" style="1" customWidth="1"/>
    <col min="11780" max="11780" width="0.6640625" style="1" customWidth="1"/>
    <col min="11781" max="11781" width="22.88671875" style="1" customWidth="1"/>
    <col min="11782" max="11796" width="1.77734375" style="1" customWidth="1"/>
    <col min="11797" max="11797" width="2.44140625" style="1" bestFit="1" customWidth="1"/>
    <col min="11798" max="11805" width="1.77734375" style="1" customWidth="1"/>
    <col min="11806" max="12032" width="8.88671875" style="1"/>
    <col min="12033" max="12033" width="0.77734375" style="1" customWidth="1"/>
    <col min="12034" max="12034" width="1" style="1" customWidth="1"/>
    <col min="12035" max="12035" width="12.21875" style="1" customWidth="1"/>
    <col min="12036" max="12036" width="0.6640625" style="1" customWidth="1"/>
    <col min="12037" max="12037" width="22.88671875" style="1" customWidth="1"/>
    <col min="12038" max="12052" width="1.77734375" style="1" customWidth="1"/>
    <col min="12053" max="12053" width="2.44140625" style="1" bestFit="1" customWidth="1"/>
    <col min="12054" max="12061" width="1.77734375" style="1" customWidth="1"/>
    <col min="12062" max="12288" width="8.88671875" style="1"/>
    <col min="12289" max="12289" width="0.77734375" style="1" customWidth="1"/>
    <col min="12290" max="12290" width="1" style="1" customWidth="1"/>
    <col min="12291" max="12291" width="12.21875" style="1" customWidth="1"/>
    <col min="12292" max="12292" width="0.6640625" style="1" customWidth="1"/>
    <col min="12293" max="12293" width="22.88671875" style="1" customWidth="1"/>
    <col min="12294" max="12308" width="1.77734375" style="1" customWidth="1"/>
    <col min="12309" max="12309" width="2.44140625" style="1" bestFit="1" customWidth="1"/>
    <col min="12310" max="12317" width="1.77734375" style="1" customWidth="1"/>
    <col min="12318" max="12544" width="8.88671875" style="1"/>
    <col min="12545" max="12545" width="0.77734375" style="1" customWidth="1"/>
    <col min="12546" max="12546" width="1" style="1" customWidth="1"/>
    <col min="12547" max="12547" width="12.21875" style="1" customWidth="1"/>
    <col min="12548" max="12548" width="0.6640625" style="1" customWidth="1"/>
    <col min="12549" max="12549" width="22.88671875" style="1" customWidth="1"/>
    <col min="12550" max="12564" width="1.77734375" style="1" customWidth="1"/>
    <col min="12565" max="12565" width="2.44140625" style="1" bestFit="1" customWidth="1"/>
    <col min="12566" max="12573" width="1.77734375" style="1" customWidth="1"/>
    <col min="12574" max="12800" width="8.88671875" style="1"/>
    <col min="12801" max="12801" width="0.77734375" style="1" customWidth="1"/>
    <col min="12802" max="12802" width="1" style="1" customWidth="1"/>
    <col min="12803" max="12803" width="12.21875" style="1" customWidth="1"/>
    <col min="12804" max="12804" width="0.6640625" style="1" customWidth="1"/>
    <col min="12805" max="12805" width="22.88671875" style="1" customWidth="1"/>
    <col min="12806" max="12820" width="1.77734375" style="1" customWidth="1"/>
    <col min="12821" max="12821" width="2.44140625" style="1" bestFit="1" customWidth="1"/>
    <col min="12822" max="12829" width="1.77734375" style="1" customWidth="1"/>
    <col min="12830" max="13056" width="8.88671875" style="1"/>
    <col min="13057" max="13057" width="0.77734375" style="1" customWidth="1"/>
    <col min="13058" max="13058" width="1" style="1" customWidth="1"/>
    <col min="13059" max="13059" width="12.21875" style="1" customWidth="1"/>
    <col min="13060" max="13060" width="0.6640625" style="1" customWidth="1"/>
    <col min="13061" max="13061" width="22.88671875" style="1" customWidth="1"/>
    <col min="13062" max="13076" width="1.77734375" style="1" customWidth="1"/>
    <col min="13077" max="13077" width="2.44140625" style="1" bestFit="1" customWidth="1"/>
    <col min="13078" max="13085" width="1.77734375" style="1" customWidth="1"/>
    <col min="13086" max="13312" width="8.88671875" style="1"/>
    <col min="13313" max="13313" width="0.77734375" style="1" customWidth="1"/>
    <col min="13314" max="13314" width="1" style="1" customWidth="1"/>
    <col min="13315" max="13315" width="12.21875" style="1" customWidth="1"/>
    <col min="13316" max="13316" width="0.6640625" style="1" customWidth="1"/>
    <col min="13317" max="13317" width="22.88671875" style="1" customWidth="1"/>
    <col min="13318" max="13332" width="1.77734375" style="1" customWidth="1"/>
    <col min="13333" max="13333" width="2.44140625" style="1" bestFit="1" customWidth="1"/>
    <col min="13334" max="13341" width="1.77734375" style="1" customWidth="1"/>
    <col min="13342" max="13568" width="8.88671875" style="1"/>
    <col min="13569" max="13569" width="0.77734375" style="1" customWidth="1"/>
    <col min="13570" max="13570" width="1" style="1" customWidth="1"/>
    <col min="13571" max="13571" width="12.21875" style="1" customWidth="1"/>
    <col min="13572" max="13572" width="0.6640625" style="1" customWidth="1"/>
    <col min="13573" max="13573" width="22.88671875" style="1" customWidth="1"/>
    <col min="13574" max="13588" width="1.77734375" style="1" customWidth="1"/>
    <col min="13589" max="13589" width="2.44140625" style="1" bestFit="1" customWidth="1"/>
    <col min="13590" max="13597" width="1.77734375" style="1" customWidth="1"/>
    <col min="13598" max="13824" width="8.88671875" style="1"/>
    <col min="13825" max="13825" width="0.77734375" style="1" customWidth="1"/>
    <col min="13826" max="13826" width="1" style="1" customWidth="1"/>
    <col min="13827" max="13827" width="12.21875" style="1" customWidth="1"/>
    <col min="13828" max="13828" width="0.6640625" style="1" customWidth="1"/>
    <col min="13829" max="13829" width="22.88671875" style="1" customWidth="1"/>
    <col min="13830" max="13844" width="1.77734375" style="1" customWidth="1"/>
    <col min="13845" max="13845" width="2.44140625" style="1" bestFit="1" customWidth="1"/>
    <col min="13846" max="13853" width="1.77734375" style="1" customWidth="1"/>
    <col min="13854" max="14080" width="8.88671875" style="1"/>
    <col min="14081" max="14081" width="0.77734375" style="1" customWidth="1"/>
    <col min="14082" max="14082" width="1" style="1" customWidth="1"/>
    <col min="14083" max="14083" width="12.21875" style="1" customWidth="1"/>
    <col min="14084" max="14084" width="0.6640625" style="1" customWidth="1"/>
    <col min="14085" max="14085" width="22.88671875" style="1" customWidth="1"/>
    <col min="14086" max="14100" width="1.77734375" style="1" customWidth="1"/>
    <col min="14101" max="14101" width="2.44140625" style="1" bestFit="1" customWidth="1"/>
    <col min="14102" max="14109" width="1.77734375" style="1" customWidth="1"/>
    <col min="14110" max="14336" width="8.88671875" style="1"/>
    <col min="14337" max="14337" width="0.77734375" style="1" customWidth="1"/>
    <col min="14338" max="14338" width="1" style="1" customWidth="1"/>
    <col min="14339" max="14339" width="12.21875" style="1" customWidth="1"/>
    <col min="14340" max="14340" width="0.6640625" style="1" customWidth="1"/>
    <col min="14341" max="14341" width="22.88671875" style="1" customWidth="1"/>
    <col min="14342" max="14356" width="1.77734375" style="1" customWidth="1"/>
    <col min="14357" max="14357" width="2.44140625" style="1" bestFit="1" customWidth="1"/>
    <col min="14358" max="14365" width="1.77734375" style="1" customWidth="1"/>
    <col min="14366" max="14592" width="8.88671875" style="1"/>
    <col min="14593" max="14593" width="0.77734375" style="1" customWidth="1"/>
    <col min="14594" max="14594" width="1" style="1" customWidth="1"/>
    <col min="14595" max="14595" width="12.21875" style="1" customWidth="1"/>
    <col min="14596" max="14596" width="0.6640625" style="1" customWidth="1"/>
    <col min="14597" max="14597" width="22.88671875" style="1" customWidth="1"/>
    <col min="14598" max="14612" width="1.77734375" style="1" customWidth="1"/>
    <col min="14613" max="14613" width="2.44140625" style="1" bestFit="1" customWidth="1"/>
    <col min="14614" max="14621" width="1.77734375" style="1" customWidth="1"/>
    <col min="14622" max="14848" width="8.88671875" style="1"/>
    <col min="14849" max="14849" width="0.77734375" style="1" customWidth="1"/>
    <col min="14850" max="14850" width="1" style="1" customWidth="1"/>
    <col min="14851" max="14851" width="12.21875" style="1" customWidth="1"/>
    <col min="14852" max="14852" width="0.6640625" style="1" customWidth="1"/>
    <col min="14853" max="14853" width="22.88671875" style="1" customWidth="1"/>
    <col min="14854" max="14868" width="1.77734375" style="1" customWidth="1"/>
    <col min="14869" max="14869" width="2.44140625" style="1" bestFit="1" customWidth="1"/>
    <col min="14870" max="14877" width="1.77734375" style="1" customWidth="1"/>
    <col min="14878" max="15104" width="8.88671875" style="1"/>
    <col min="15105" max="15105" width="0.77734375" style="1" customWidth="1"/>
    <col min="15106" max="15106" width="1" style="1" customWidth="1"/>
    <col min="15107" max="15107" width="12.21875" style="1" customWidth="1"/>
    <col min="15108" max="15108" width="0.6640625" style="1" customWidth="1"/>
    <col min="15109" max="15109" width="22.88671875" style="1" customWidth="1"/>
    <col min="15110" max="15124" width="1.77734375" style="1" customWidth="1"/>
    <col min="15125" max="15125" width="2.44140625" style="1" bestFit="1" customWidth="1"/>
    <col min="15126" max="15133" width="1.77734375" style="1" customWidth="1"/>
    <col min="15134" max="15360" width="8.88671875" style="1"/>
    <col min="15361" max="15361" width="0.77734375" style="1" customWidth="1"/>
    <col min="15362" max="15362" width="1" style="1" customWidth="1"/>
    <col min="15363" max="15363" width="12.21875" style="1" customWidth="1"/>
    <col min="15364" max="15364" width="0.6640625" style="1" customWidth="1"/>
    <col min="15365" max="15365" width="22.88671875" style="1" customWidth="1"/>
    <col min="15366" max="15380" width="1.77734375" style="1" customWidth="1"/>
    <col min="15381" max="15381" width="2.44140625" style="1" bestFit="1" customWidth="1"/>
    <col min="15382" max="15389" width="1.77734375" style="1" customWidth="1"/>
    <col min="15390" max="15616" width="8.88671875" style="1"/>
    <col min="15617" max="15617" width="0.77734375" style="1" customWidth="1"/>
    <col min="15618" max="15618" width="1" style="1" customWidth="1"/>
    <col min="15619" max="15619" width="12.21875" style="1" customWidth="1"/>
    <col min="15620" max="15620" width="0.6640625" style="1" customWidth="1"/>
    <col min="15621" max="15621" width="22.88671875" style="1" customWidth="1"/>
    <col min="15622" max="15636" width="1.77734375" style="1" customWidth="1"/>
    <col min="15637" max="15637" width="2.44140625" style="1" bestFit="1" customWidth="1"/>
    <col min="15638" max="15645" width="1.77734375" style="1" customWidth="1"/>
    <col min="15646" max="15872" width="8.88671875" style="1"/>
    <col min="15873" max="15873" width="0.77734375" style="1" customWidth="1"/>
    <col min="15874" max="15874" width="1" style="1" customWidth="1"/>
    <col min="15875" max="15875" width="12.21875" style="1" customWidth="1"/>
    <col min="15876" max="15876" width="0.6640625" style="1" customWidth="1"/>
    <col min="15877" max="15877" width="22.88671875" style="1" customWidth="1"/>
    <col min="15878" max="15892" width="1.77734375" style="1" customWidth="1"/>
    <col min="15893" max="15893" width="2.44140625" style="1" bestFit="1" customWidth="1"/>
    <col min="15894" max="15901" width="1.77734375" style="1" customWidth="1"/>
    <col min="15902" max="16128" width="8.88671875" style="1"/>
    <col min="16129" max="16129" width="0.77734375" style="1" customWidth="1"/>
    <col min="16130" max="16130" width="1" style="1" customWidth="1"/>
    <col min="16131" max="16131" width="12.21875" style="1" customWidth="1"/>
    <col min="16132" max="16132" width="0.6640625" style="1" customWidth="1"/>
    <col min="16133" max="16133" width="22.88671875" style="1" customWidth="1"/>
    <col min="16134" max="16148" width="1.77734375" style="1" customWidth="1"/>
    <col min="16149" max="16149" width="2.44140625" style="1" bestFit="1" customWidth="1"/>
    <col min="16150" max="16157" width="1.77734375" style="1" customWidth="1"/>
    <col min="16158" max="16384" width="8.88671875" style="1"/>
  </cols>
  <sheetData>
    <row r="1" spans="2:39" ht="16.5" customHeight="1" thickBot="1"/>
    <row r="2" spans="2:39" ht="21.75" customHeight="1" thickBot="1">
      <c r="C2" s="161" t="s">
        <v>0</v>
      </c>
      <c r="D2" s="161"/>
      <c r="E2" s="162"/>
      <c r="F2" s="163" t="s">
        <v>1</v>
      </c>
      <c r="G2" s="164"/>
      <c r="H2" s="164"/>
      <c r="I2" s="165"/>
      <c r="J2" s="166" t="s">
        <v>2</v>
      </c>
      <c r="K2" s="166"/>
      <c r="L2" s="166"/>
      <c r="M2" s="166"/>
      <c r="N2" s="166"/>
      <c r="O2" s="166" t="s">
        <v>3</v>
      </c>
      <c r="P2" s="166"/>
      <c r="Q2" s="166"/>
      <c r="R2" s="166"/>
      <c r="S2" s="166"/>
      <c r="T2" s="166" t="s">
        <v>4</v>
      </c>
      <c r="U2" s="166"/>
      <c r="V2" s="166"/>
      <c r="W2" s="166"/>
      <c r="X2" s="166"/>
      <c r="Y2" s="166" t="s">
        <v>4</v>
      </c>
      <c r="Z2" s="166"/>
      <c r="AA2" s="166"/>
      <c r="AB2" s="166"/>
      <c r="AC2" s="167"/>
    </row>
    <row r="3" spans="2:39" ht="28.5" customHeight="1" thickTop="1">
      <c r="C3" s="161"/>
      <c r="D3" s="161"/>
      <c r="E3" s="162"/>
      <c r="F3" s="168" t="s">
        <v>5</v>
      </c>
      <c r="G3" s="169"/>
      <c r="H3" s="169"/>
      <c r="I3" s="170"/>
      <c r="J3" s="171" t="s">
        <v>67</v>
      </c>
      <c r="K3" s="172"/>
      <c r="L3" s="172"/>
      <c r="M3" s="172"/>
      <c r="N3" s="172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8"/>
    </row>
    <row r="4" spans="2:39" ht="28.5" customHeight="1" thickBot="1">
      <c r="C4" s="161"/>
      <c r="D4" s="161"/>
      <c r="E4" s="162"/>
      <c r="F4" s="149" t="s">
        <v>6</v>
      </c>
      <c r="G4" s="150"/>
      <c r="H4" s="150"/>
      <c r="I4" s="151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3"/>
    </row>
    <row r="5" spans="2:39" ht="3.75" customHeight="1" thickBot="1"/>
    <row r="6" spans="2:39" ht="30" customHeight="1" thickBot="1">
      <c r="B6" s="2"/>
      <c r="C6" s="154" t="str">
        <f>"일금 "&amp; NUMBERSTRING(R6, 1) &amp; "원 정"</f>
        <v>일금 영원 정</v>
      </c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3"/>
      <c r="P6" s="4" t="s">
        <v>7</v>
      </c>
      <c r="Q6" s="3"/>
      <c r="R6" s="156">
        <f>R32</f>
        <v>0</v>
      </c>
      <c r="S6" s="156"/>
      <c r="T6" s="156"/>
      <c r="U6" s="156"/>
      <c r="V6" s="156"/>
      <c r="W6" s="156"/>
      <c r="X6" s="156"/>
      <c r="Y6" s="156"/>
      <c r="Z6" s="156"/>
      <c r="AA6" s="3" t="s">
        <v>8</v>
      </c>
      <c r="AB6" s="3"/>
      <c r="AC6" s="5"/>
    </row>
    <row r="7" spans="2:39" ht="3.75" customHeight="1" thickBot="1"/>
    <row r="8" spans="2:39" ht="24" customHeight="1">
      <c r="B8" s="6"/>
      <c r="C8" s="67" t="s">
        <v>9</v>
      </c>
      <c r="D8" s="7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8"/>
      <c r="R8" s="108" t="s">
        <v>10</v>
      </c>
      <c r="S8" s="109"/>
      <c r="T8" s="109"/>
      <c r="U8" s="109"/>
      <c r="V8" s="109"/>
      <c r="W8" s="109"/>
      <c r="X8" s="109"/>
      <c r="Y8" s="157"/>
      <c r="Z8" s="158"/>
      <c r="AA8" s="159"/>
      <c r="AB8" s="159"/>
      <c r="AC8" s="160"/>
      <c r="AE8" s="127"/>
      <c r="AF8" s="127"/>
      <c r="AG8" s="127"/>
      <c r="AH8" s="127"/>
      <c r="AI8" s="127"/>
      <c r="AJ8" s="127"/>
      <c r="AK8" s="127"/>
      <c r="AL8" s="127"/>
      <c r="AM8" s="127"/>
    </row>
    <row r="9" spans="2:39" ht="24" customHeight="1">
      <c r="B9" s="9"/>
      <c r="C9" s="143" t="str">
        <f>"기간 : "&amp;TEXT(EDATE(Z9, -1)+1, "yyyy.mm.dd")&amp;" ~ "&amp;TEXT(Z9,"yyyy.mm.dd")</f>
        <v>기간 : 2026.08.21 ~ 2026.09.20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0"/>
      <c r="R9" s="135" t="s">
        <v>11</v>
      </c>
      <c r="S9" s="136"/>
      <c r="T9" s="136"/>
      <c r="U9" s="136"/>
      <c r="V9" s="136"/>
      <c r="W9" s="136"/>
      <c r="X9" s="136"/>
      <c r="Y9" s="137"/>
      <c r="Z9" s="144">
        <v>46285</v>
      </c>
      <c r="AA9" s="145"/>
      <c r="AB9" s="145"/>
      <c r="AC9" s="146"/>
      <c r="AE9" s="127"/>
      <c r="AF9" s="127"/>
      <c r="AG9" s="127"/>
      <c r="AH9" s="127"/>
      <c r="AI9" s="127"/>
      <c r="AJ9" s="127"/>
      <c r="AK9" s="127"/>
      <c r="AL9" s="127"/>
      <c r="AM9" s="127"/>
    </row>
    <row r="10" spans="2:39" ht="24" customHeight="1">
      <c r="B10" s="9"/>
      <c r="C10" s="141" t="s">
        <v>68</v>
      </c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0"/>
      <c r="R10" s="135" t="s">
        <v>12</v>
      </c>
      <c r="S10" s="136"/>
      <c r="T10" s="136"/>
      <c r="U10" s="136"/>
      <c r="V10" s="136"/>
      <c r="W10" s="136"/>
      <c r="X10" s="136"/>
      <c r="Y10" s="137"/>
      <c r="Z10" s="142"/>
      <c r="AA10" s="139"/>
      <c r="AB10" s="139"/>
      <c r="AC10" s="140"/>
      <c r="AE10" s="126"/>
      <c r="AF10" s="127"/>
      <c r="AG10" s="127"/>
      <c r="AH10" s="127"/>
      <c r="AI10" s="127"/>
      <c r="AJ10" s="127"/>
      <c r="AK10" s="127"/>
      <c r="AL10" s="127"/>
      <c r="AM10" s="127"/>
    </row>
    <row r="11" spans="2:39" ht="24" customHeight="1">
      <c r="B11" s="9"/>
      <c r="C11" s="134" t="str">
        <f>"접수일 : "&amp;TEXT(Z9,"yyyy.mm.dd")</f>
        <v>접수일 : 2026.09.20</v>
      </c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0"/>
      <c r="R11" s="135" t="s">
        <v>13</v>
      </c>
      <c r="S11" s="136"/>
      <c r="T11" s="136"/>
      <c r="U11" s="136"/>
      <c r="V11" s="136"/>
      <c r="W11" s="136"/>
      <c r="X11" s="136"/>
      <c r="Y11" s="137"/>
      <c r="Z11" s="138"/>
      <c r="AA11" s="139"/>
      <c r="AB11" s="139"/>
      <c r="AC11" s="140"/>
      <c r="AE11" s="126"/>
      <c r="AF11" s="127"/>
      <c r="AG11" s="127"/>
      <c r="AH11" s="127"/>
      <c r="AI11" s="127"/>
      <c r="AJ11" s="127"/>
      <c r="AK11" s="127"/>
      <c r="AL11" s="127"/>
      <c r="AM11" s="127"/>
    </row>
    <row r="12" spans="2:39" ht="24" customHeight="1">
      <c r="B12" s="9"/>
      <c r="C12" s="127" t="s">
        <v>14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0"/>
      <c r="R12" s="128" t="s">
        <v>15</v>
      </c>
      <c r="S12" s="129"/>
      <c r="T12" s="129" t="s">
        <v>16</v>
      </c>
      <c r="U12" s="129"/>
      <c r="V12" s="129"/>
      <c r="W12" s="129"/>
      <c r="X12" s="129"/>
      <c r="Y12" s="129"/>
      <c r="Z12" s="11"/>
      <c r="AA12" s="12"/>
      <c r="AB12" s="12"/>
      <c r="AC12" s="13"/>
      <c r="AE12" s="127"/>
      <c r="AF12" s="127"/>
      <c r="AG12" s="127"/>
      <c r="AH12" s="127"/>
      <c r="AI12" s="127"/>
      <c r="AJ12" s="127"/>
      <c r="AK12" s="127"/>
      <c r="AL12" s="127"/>
      <c r="AM12" s="127"/>
    </row>
    <row r="13" spans="2:39" ht="24" customHeight="1">
      <c r="B13" s="9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0"/>
      <c r="R13" s="130"/>
      <c r="S13" s="129"/>
      <c r="T13" s="129" t="s">
        <v>17</v>
      </c>
      <c r="U13" s="129"/>
      <c r="V13" s="129"/>
      <c r="W13" s="129"/>
      <c r="X13" s="129"/>
      <c r="Y13" s="129"/>
      <c r="Z13" s="11"/>
      <c r="AA13" s="12"/>
      <c r="AB13" s="12"/>
      <c r="AC13" s="13"/>
      <c r="AE13" s="127"/>
      <c r="AF13" s="127"/>
      <c r="AG13" s="127"/>
      <c r="AH13" s="127"/>
      <c r="AI13" s="127"/>
      <c r="AJ13" s="127"/>
      <c r="AK13" s="127"/>
      <c r="AL13" s="127"/>
      <c r="AM13" s="127"/>
    </row>
    <row r="14" spans="2:39" ht="24" customHeight="1" thickBot="1">
      <c r="B14" s="14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5"/>
      <c r="R14" s="131"/>
      <c r="S14" s="132"/>
      <c r="T14" s="132" t="s">
        <v>18</v>
      </c>
      <c r="U14" s="132"/>
      <c r="V14" s="132"/>
      <c r="W14" s="132"/>
      <c r="X14" s="132"/>
      <c r="Y14" s="132"/>
      <c r="Z14" s="16"/>
      <c r="AA14" s="16"/>
      <c r="AB14" s="16"/>
      <c r="AC14" s="17"/>
      <c r="AE14" s="127"/>
      <c r="AF14" s="127"/>
      <c r="AG14" s="127"/>
      <c r="AH14" s="127"/>
      <c r="AI14" s="127"/>
      <c r="AJ14" s="127"/>
      <c r="AK14" s="127"/>
      <c r="AL14" s="127"/>
      <c r="AM14" s="127"/>
    </row>
    <row r="15" spans="2:39" ht="4.5" customHeight="1" thickBot="1"/>
    <row r="16" spans="2:39" ht="24" customHeight="1" thickBot="1">
      <c r="B16" s="173" t="s">
        <v>1</v>
      </c>
      <c r="C16" s="174"/>
      <c r="D16" s="174"/>
      <c r="E16" s="175"/>
      <c r="F16" s="173" t="s">
        <v>19</v>
      </c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5"/>
      <c r="R16" s="173" t="s">
        <v>20</v>
      </c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5"/>
    </row>
    <row r="17" spans="2:33" ht="21" customHeight="1" thickTop="1">
      <c r="B17" s="99" t="s">
        <v>69</v>
      </c>
      <c r="C17" s="100">
        <v>7100</v>
      </c>
      <c r="D17" s="100" t="s">
        <v>21</v>
      </c>
      <c r="E17" s="101">
        <v>7100</v>
      </c>
      <c r="F17" s="102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4"/>
      <c r="R17" s="105">
        <f t="shared" ref="R17" si="0">F17</f>
        <v>0</v>
      </c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7"/>
    </row>
    <row r="18" spans="2:33" ht="21" customHeight="1">
      <c r="B18" s="99"/>
      <c r="C18" s="100"/>
      <c r="D18" s="100"/>
      <c r="E18" s="101"/>
      <c r="F18" s="102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4"/>
      <c r="R18" s="105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7"/>
    </row>
    <row r="19" spans="2:33" ht="21" customHeight="1">
      <c r="B19" s="99"/>
      <c r="C19" s="100"/>
      <c r="D19" s="100"/>
      <c r="E19" s="101"/>
      <c r="F19" s="102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105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7"/>
    </row>
    <row r="20" spans="2:33" ht="21" customHeight="1">
      <c r="B20" s="114"/>
      <c r="C20" s="115"/>
      <c r="D20" s="115"/>
      <c r="E20" s="116"/>
      <c r="F20" s="105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105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7"/>
    </row>
    <row r="21" spans="2:33" ht="21" customHeight="1">
      <c r="B21" s="114"/>
      <c r="C21" s="115"/>
      <c r="D21" s="115"/>
      <c r="E21" s="116"/>
      <c r="F21" s="105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7"/>
      <c r="R21" s="105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7"/>
    </row>
    <row r="22" spans="2:33" ht="21" customHeight="1">
      <c r="B22" s="114"/>
      <c r="C22" s="115"/>
      <c r="D22" s="115"/>
      <c r="E22" s="116"/>
      <c r="F22" s="105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7"/>
      <c r="R22" s="105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7"/>
    </row>
    <row r="23" spans="2:33" ht="21" customHeight="1">
      <c r="B23" s="114"/>
      <c r="C23" s="115"/>
      <c r="D23" s="115"/>
      <c r="E23" s="116"/>
      <c r="F23" s="105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7"/>
      <c r="R23" s="105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7"/>
    </row>
    <row r="24" spans="2:33" ht="21" customHeight="1">
      <c r="B24" s="114"/>
      <c r="C24" s="115"/>
      <c r="D24" s="115"/>
      <c r="E24" s="116"/>
      <c r="F24" s="105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7"/>
      <c r="R24" s="105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7"/>
    </row>
    <row r="25" spans="2:33" ht="21" customHeight="1">
      <c r="B25" s="114"/>
      <c r="C25" s="115"/>
      <c r="D25" s="115"/>
      <c r="E25" s="116"/>
      <c r="F25" s="105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7"/>
      <c r="R25" s="105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7"/>
    </row>
    <row r="26" spans="2:33" ht="21" customHeight="1">
      <c r="B26" s="114"/>
      <c r="C26" s="115"/>
      <c r="D26" s="115"/>
      <c r="E26" s="116"/>
      <c r="F26" s="105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7"/>
      <c r="R26" s="105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7"/>
      <c r="AG26" s="64" t="s">
        <v>22</v>
      </c>
    </row>
    <row r="27" spans="2:33" ht="21" customHeight="1">
      <c r="B27" s="114"/>
      <c r="C27" s="115"/>
      <c r="D27" s="115"/>
      <c r="E27" s="116"/>
      <c r="F27" s="105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7"/>
      <c r="R27" s="105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7"/>
    </row>
    <row r="28" spans="2:33" ht="21" customHeight="1">
      <c r="B28" s="114"/>
      <c r="C28" s="115"/>
      <c r="D28" s="115"/>
      <c r="E28" s="116"/>
      <c r="F28" s="105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7"/>
      <c r="R28" s="105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7"/>
    </row>
    <row r="29" spans="2:33" ht="21" customHeight="1">
      <c r="B29" s="114"/>
      <c r="C29" s="115"/>
      <c r="D29" s="115"/>
      <c r="E29" s="116"/>
      <c r="F29" s="105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7"/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7"/>
    </row>
    <row r="30" spans="2:33" ht="21" customHeight="1">
      <c r="B30" s="114"/>
      <c r="C30" s="115"/>
      <c r="D30" s="115"/>
      <c r="E30" s="116"/>
      <c r="F30" s="105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7"/>
      <c r="R30" s="105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7"/>
    </row>
    <row r="31" spans="2:33" ht="21" customHeight="1" thickBot="1">
      <c r="B31" s="114"/>
      <c r="C31" s="115"/>
      <c r="D31" s="115"/>
      <c r="E31" s="116"/>
      <c r="F31" s="117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9"/>
      <c r="R31" s="117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9"/>
    </row>
    <row r="32" spans="2:33" ht="21.75" customHeight="1" thickTop="1" thickBot="1">
      <c r="B32" s="120" t="s">
        <v>23</v>
      </c>
      <c r="C32" s="121"/>
      <c r="D32" s="121"/>
      <c r="E32" s="122"/>
      <c r="F32" s="123">
        <f>SUM(F17:F31)</f>
        <v>0</v>
      </c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3">
        <f>SUM(R17:AC31)</f>
        <v>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5"/>
    </row>
    <row r="33" spans="2:29" ht="4.5" customHeight="1" thickBot="1"/>
    <row r="34" spans="2:29" ht="21.75" customHeight="1">
      <c r="B34" s="18" t="s">
        <v>24</v>
      </c>
      <c r="C34" s="19"/>
      <c r="D34" s="19"/>
      <c r="E34" s="7"/>
      <c r="F34" s="7"/>
      <c r="G34" s="7"/>
      <c r="H34" s="7"/>
      <c r="I34" s="7"/>
      <c r="J34" s="7"/>
      <c r="K34" s="7"/>
      <c r="L34" s="7"/>
      <c r="M34" s="7"/>
      <c r="N34" s="8"/>
      <c r="O34" s="108" t="s">
        <v>25</v>
      </c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10"/>
    </row>
    <row r="35" spans="2:29" ht="21.75" customHeight="1" thickBot="1">
      <c r="B35" s="20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15"/>
      <c r="O35" s="111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3"/>
    </row>
    <row r="36" spans="2:29" ht="18.75">
      <c r="C36" s="23" t="s">
        <v>26</v>
      </c>
    </row>
  </sheetData>
  <mergeCells count="96">
    <mergeCell ref="F16:Q16"/>
    <mergeCell ref="R16:AC16"/>
    <mergeCell ref="F17:Q17"/>
    <mergeCell ref="R17:AC17"/>
    <mergeCell ref="B16:E16"/>
    <mergeCell ref="B17:E17"/>
    <mergeCell ref="Y2:AC2"/>
    <mergeCell ref="F3:I3"/>
    <mergeCell ref="J3:N3"/>
    <mergeCell ref="O3:S3"/>
    <mergeCell ref="T3:X3"/>
    <mergeCell ref="AE8:AM8"/>
    <mergeCell ref="Y3:AC3"/>
    <mergeCell ref="F4:I4"/>
    <mergeCell ref="J4:N4"/>
    <mergeCell ref="O4:S4"/>
    <mergeCell ref="T4:X4"/>
    <mergeCell ref="Y4:AC4"/>
    <mergeCell ref="C6:N6"/>
    <mergeCell ref="R6:Z6"/>
    <mergeCell ref="R8:Y8"/>
    <mergeCell ref="Z8:AC8"/>
    <mergeCell ref="C2:E4"/>
    <mergeCell ref="F2:I2"/>
    <mergeCell ref="J2:N2"/>
    <mergeCell ref="O2:S2"/>
    <mergeCell ref="T2:X2"/>
    <mergeCell ref="AE9:AM9"/>
    <mergeCell ref="C10:P10"/>
    <mergeCell ref="R10:Y10"/>
    <mergeCell ref="Z10:AC10"/>
    <mergeCell ref="AE10:AM10"/>
    <mergeCell ref="C9:P9"/>
    <mergeCell ref="R9:Y9"/>
    <mergeCell ref="Z9:AC9"/>
    <mergeCell ref="AE11:AM11"/>
    <mergeCell ref="C12:P12"/>
    <mergeCell ref="R12:S14"/>
    <mergeCell ref="T12:Y12"/>
    <mergeCell ref="AE12:AM12"/>
    <mergeCell ref="C13:P13"/>
    <mergeCell ref="T13:Y13"/>
    <mergeCell ref="AE13:AM13"/>
    <mergeCell ref="C14:P14"/>
    <mergeCell ref="T14:Y14"/>
    <mergeCell ref="AE14:AM14"/>
    <mergeCell ref="C11:P11"/>
    <mergeCell ref="R11:Y11"/>
    <mergeCell ref="Z11:AC11"/>
    <mergeCell ref="B30:E30"/>
    <mergeCell ref="B26:E26"/>
    <mergeCell ref="B27:E27"/>
    <mergeCell ref="B28:E28"/>
    <mergeCell ref="F23:Q23"/>
    <mergeCell ref="F24:Q24"/>
    <mergeCell ref="F28:Q28"/>
    <mergeCell ref="F25:Q25"/>
    <mergeCell ref="B23:E23"/>
    <mergeCell ref="R24:AC24"/>
    <mergeCell ref="R25:AC25"/>
    <mergeCell ref="F21:Q21"/>
    <mergeCell ref="R21:AC21"/>
    <mergeCell ref="F22:Q22"/>
    <mergeCell ref="R22:AC22"/>
    <mergeCell ref="B31:E31"/>
    <mergeCell ref="F27:Q27"/>
    <mergeCell ref="R27:AC27"/>
    <mergeCell ref="F19:Q19"/>
    <mergeCell ref="R19:AC19"/>
    <mergeCell ref="R23:AC23"/>
    <mergeCell ref="B19:E19"/>
    <mergeCell ref="B20:E20"/>
    <mergeCell ref="F20:Q20"/>
    <mergeCell ref="R20:AC20"/>
    <mergeCell ref="R28:AC28"/>
    <mergeCell ref="F29:Q29"/>
    <mergeCell ref="R29:AC29"/>
    <mergeCell ref="B29:E29"/>
    <mergeCell ref="B21:E21"/>
    <mergeCell ref="B22:E22"/>
    <mergeCell ref="B18:E18"/>
    <mergeCell ref="F18:Q18"/>
    <mergeCell ref="R18:AC18"/>
    <mergeCell ref="O34:AC34"/>
    <mergeCell ref="O35:AC35"/>
    <mergeCell ref="B24:E24"/>
    <mergeCell ref="F30:Q30"/>
    <mergeCell ref="R30:AC30"/>
    <mergeCell ref="F31:Q31"/>
    <mergeCell ref="R31:AC31"/>
    <mergeCell ref="B32:E32"/>
    <mergeCell ref="B25:E25"/>
    <mergeCell ref="F26:Q26"/>
    <mergeCell ref="R26:AC26"/>
    <mergeCell ref="F32:Q32"/>
    <mergeCell ref="R32:AC32"/>
  </mergeCells>
  <phoneticPr fontId="2" type="noConversion"/>
  <printOptions horizontalCentered="1"/>
  <pageMargins left="0.47244094488188981" right="0.47244094488188981" top="0.98425196850393704" bottom="0.37" header="0.51181102362204722" footer="0.39370078740157483"/>
  <pageSetup paperSize="9" scale="7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48"/>
  <sheetViews>
    <sheetView showGridLines="0" topLeftCell="A15" workbookViewId="0">
      <selection activeCell="C4" sqref="C4:D4"/>
    </sheetView>
  </sheetViews>
  <sheetFormatPr defaultColWidth="8.77734375" defaultRowHeight="17.25" customHeight="1"/>
  <cols>
    <col min="1" max="1" width="1.109375" style="27" customWidth="1"/>
    <col min="2" max="2" width="13.109375" style="38" customWidth="1"/>
    <col min="3" max="3" width="9.77734375" style="27" customWidth="1"/>
    <col min="4" max="4" width="7.44140625" style="27" customWidth="1"/>
    <col min="5" max="5" width="11.21875" style="40" customWidth="1"/>
    <col min="6" max="6" width="14.44140625" style="27" customWidth="1"/>
    <col min="7" max="7" width="57.109375" style="27" customWidth="1"/>
    <col min="8" max="8" width="12.21875" style="27" customWidth="1"/>
    <col min="9" max="9" width="12.33203125" style="39" customWidth="1"/>
    <col min="10" max="10" width="14.77734375" style="27" customWidth="1"/>
    <col min="11" max="16384" width="8.77734375" style="27"/>
  </cols>
  <sheetData>
    <row r="1" spans="2:10" ht="7.5" customHeight="1"/>
    <row r="2" spans="2:10" ht="17.25" customHeight="1">
      <c r="B2" s="77" t="s">
        <v>27</v>
      </c>
      <c r="C2" s="78"/>
      <c r="D2" s="78"/>
      <c r="E2" s="78"/>
      <c r="F2" s="78"/>
      <c r="G2" s="78"/>
      <c r="H2" s="78"/>
      <c r="I2" s="78"/>
      <c r="J2" s="79"/>
    </row>
    <row r="3" spans="2:10" s="28" customFormat="1" ht="31.5" customHeight="1">
      <c r="B3" s="89" t="s">
        <v>28</v>
      </c>
      <c r="C3" s="89"/>
      <c r="D3" s="89"/>
      <c r="E3" s="89"/>
      <c r="F3" s="89"/>
      <c r="G3" s="89"/>
      <c r="H3" s="89"/>
      <c r="I3" s="89"/>
      <c r="J3" s="89"/>
    </row>
    <row r="4" spans="2:10" s="30" customFormat="1" ht="18" customHeight="1">
      <c r="B4" s="29" t="s">
        <v>29</v>
      </c>
      <c r="C4" s="80"/>
      <c r="D4" s="81"/>
      <c r="E4" s="41" t="s">
        <v>30</v>
      </c>
      <c r="F4" s="90" t="str">
        <f>RIGHT(지출결의서!C9,LEN(지출결의서!C9)-5)</f>
        <v>2026.08.21 ~ 2026.09.20</v>
      </c>
      <c r="G4" s="91"/>
      <c r="H4" s="91"/>
      <c r="I4" s="91"/>
      <c r="J4" s="92"/>
    </row>
    <row r="5" spans="2:10" s="30" customFormat="1" ht="18" customHeight="1">
      <c r="B5" s="29" t="s">
        <v>11</v>
      </c>
      <c r="C5" s="82" t="str">
        <f>TEXT(지출결의서!Z9,"yyyy. mm. dd")</f>
        <v>2026. 09. 20</v>
      </c>
      <c r="D5" s="83"/>
      <c r="E5" s="41" t="s">
        <v>31</v>
      </c>
      <c r="F5" s="93"/>
      <c r="G5" s="94"/>
      <c r="H5" s="94"/>
      <c r="I5" s="94"/>
      <c r="J5" s="95"/>
    </row>
    <row r="6" spans="2:10" s="30" customFormat="1" ht="18" customHeight="1">
      <c r="B6" s="84"/>
      <c r="C6" s="84"/>
      <c r="D6" s="84"/>
      <c r="E6" s="84"/>
      <c r="F6" s="84"/>
      <c r="G6" s="84"/>
      <c r="H6" s="84"/>
      <c r="I6" s="84"/>
      <c r="J6" s="84"/>
    </row>
    <row r="7" spans="2:10" s="30" customFormat="1" ht="18" customHeight="1" thickBot="1">
      <c r="B7" s="57" t="s">
        <v>32</v>
      </c>
      <c r="C7" s="58" t="s">
        <v>33</v>
      </c>
      <c r="D7" s="58" t="s">
        <v>34</v>
      </c>
      <c r="E7" s="59" t="s">
        <v>35</v>
      </c>
      <c r="F7" s="58" t="s">
        <v>36</v>
      </c>
      <c r="G7" s="58" t="s">
        <v>37</v>
      </c>
      <c r="H7" s="58" t="s">
        <v>19</v>
      </c>
      <c r="I7" s="60" t="s">
        <v>38</v>
      </c>
      <c r="J7" s="58" t="s">
        <v>39</v>
      </c>
    </row>
    <row r="8" spans="2:10" s="30" customFormat="1" ht="18" customHeight="1" thickTop="1">
      <c r="B8" s="73"/>
      <c r="C8" s="70"/>
      <c r="D8" s="31"/>
      <c r="E8" s="73"/>
      <c r="F8" s="31"/>
      <c r="G8" s="63"/>
      <c r="H8" s="45"/>
      <c r="I8" s="45"/>
      <c r="J8" s="33"/>
    </row>
    <row r="9" spans="2:10" s="30" customFormat="1" ht="18.75" customHeight="1">
      <c r="B9" s="69"/>
      <c r="C9" s="70"/>
      <c r="D9" s="31"/>
      <c r="E9" s="69"/>
      <c r="F9" s="31"/>
      <c r="G9" s="63"/>
      <c r="H9" s="45"/>
      <c r="I9" s="45"/>
      <c r="J9" s="33"/>
    </row>
    <row r="10" spans="2:10" s="30" customFormat="1" ht="18" customHeight="1">
      <c r="B10" s="69"/>
      <c r="C10" s="70"/>
      <c r="D10" s="31"/>
      <c r="E10" s="69"/>
      <c r="F10" s="31"/>
      <c r="G10" s="63"/>
      <c r="H10" s="45"/>
      <c r="I10" s="45"/>
      <c r="J10" s="33"/>
    </row>
    <row r="11" spans="2:10" s="30" customFormat="1" ht="18" customHeight="1">
      <c r="B11" s="69"/>
      <c r="C11" s="70"/>
      <c r="D11" s="31"/>
      <c r="E11" s="69"/>
      <c r="F11" s="31"/>
      <c r="G11" s="63"/>
      <c r="H11" s="45"/>
      <c r="I11" s="45"/>
      <c r="J11" s="33"/>
    </row>
    <row r="12" spans="2:10" s="30" customFormat="1" ht="18" customHeight="1">
      <c r="B12" s="69"/>
      <c r="C12" s="70"/>
      <c r="D12" s="31"/>
      <c r="E12" s="69"/>
      <c r="F12" s="31"/>
      <c r="G12" s="63"/>
      <c r="H12" s="45"/>
      <c r="I12" s="45"/>
      <c r="J12" s="33"/>
    </row>
    <row r="13" spans="2:10" s="30" customFormat="1" ht="18" customHeight="1">
      <c r="B13" s="69"/>
      <c r="C13" s="70"/>
      <c r="D13" s="31"/>
      <c r="E13" s="69"/>
      <c r="F13" s="31"/>
      <c r="G13" s="63"/>
      <c r="H13" s="45"/>
      <c r="I13" s="45"/>
      <c r="J13" s="33"/>
    </row>
    <row r="14" spans="2:10" s="30" customFormat="1" ht="18" customHeight="1">
      <c r="B14" s="69"/>
      <c r="C14" s="70"/>
      <c r="D14" s="31"/>
      <c r="E14" s="69"/>
      <c r="F14" s="31"/>
      <c r="G14" s="63"/>
      <c r="H14" s="45"/>
      <c r="I14" s="45"/>
      <c r="J14" s="33"/>
    </row>
    <row r="15" spans="2:10" s="30" customFormat="1" ht="18" customHeight="1">
      <c r="B15" s="69"/>
      <c r="C15" s="70"/>
      <c r="D15" s="31"/>
      <c r="E15" s="69"/>
      <c r="F15" s="31"/>
      <c r="G15" s="63"/>
      <c r="H15" s="45"/>
      <c r="I15" s="45"/>
      <c r="J15" s="33"/>
    </row>
    <row r="16" spans="2:10" s="30" customFormat="1" ht="18" customHeight="1">
      <c r="B16" s="69"/>
      <c r="C16" s="70"/>
      <c r="D16" s="31"/>
      <c r="E16" s="69"/>
      <c r="F16" s="31"/>
      <c r="G16" s="63"/>
      <c r="H16" s="45"/>
      <c r="I16" s="45"/>
      <c r="J16" s="33"/>
    </row>
    <row r="17" spans="2:10" s="30" customFormat="1" ht="18" customHeight="1">
      <c r="B17" s="69"/>
      <c r="C17" s="70"/>
      <c r="D17" s="31"/>
      <c r="E17" s="69"/>
      <c r="F17" s="31"/>
      <c r="G17" s="63"/>
      <c r="H17" s="45"/>
      <c r="I17" s="45"/>
      <c r="J17" s="33"/>
    </row>
    <row r="18" spans="2:10" ht="18" customHeight="1">
      <c r="B18" s="85" t="s">
        <v>31</v>
      </c>
      <c r="C18" s="85"/>
      <c r="D18" s="85"/>
      <c r="E18" s="85"/>
      <c r="F18" s="52"/>
      <c r="G18" s="53"/>
      <c r="H18" s="53">
        <f>SUM(H8:H17)</f>
        <v>0</v>
      </c>
      <c r="I18" s="53">
        <f>SUM(I8:I17)</f>
        <v>0</v>
      </c>
      <c r="J18" s="55"/>
    </row>
    <row r="19" spans="2:10" ht="18" customHeight="1">
      <c r="B19" s="72"/>
      <c r="C19" s="72"/>
      <c r="D19" s="72"/>
      <c r="E19" s="42"/>
      <c r="F19" s="31"/>
      <c r="G19" s="32"/>
      <c r="H19" s="45"/>
      <c r="I19" s="32"/>
      <c r="J19" s="33"/>
    </row>
    <row r="20" spans="2:10" ht="18" customHeight="1">
      <c r="B20" s="72"/>
      <c r="C20" s="72"/>
      <c r="D20" s="72"/>
      <c r="E20" s="42"/>
      <c r="F20" s="31"/>
      <c r="G20" s="32"/>
      <c r="H20" s="45"/>
      <c r="I20" s="32"/>
      <c r="J20" s="33"/>
    </row>
    <row r="21" spans="2:10" ht="18" customHeight="1">
      <c r="B21" s="72"/>
      <c r="C21" s="72"/>
      <c r="D21" s="72"/>
      <c r="E21" s="42"/>
      <c r="F21" s="31"/>
      <c r="G21" s="32"/>
      <c r="H21" s="45"/>
      <c r="I21" s="32"/>
      <c r="J21" s="33"/>
    </row>
    <row r="22" spans="2:10" ht="18" customHeight="1">
      <c r="B22" s="85" t="s">
        <v>43</v>
      </c>
      <c r="C22" s="85"/>
      <c r="D22" s="85"/>
      <c r="E22" s="85"/>
      <c r="F22" s="52"/>
      <c r="G22" s="53"/>
      <c r="H22" s="53">
        <f>SUM(H19:H21)</f>
        <v>0</v>
      </c>
      <c r="I22" s="53">
        <f>SUM(I19:I21)</f>
        <v>0</v>
      </c>
      <c r="J22" s="56"/>
    </row>
    <row r="23" spans="2:10" s="35" customFormat="1" ht="18" hidden="1" customHeight="1">
      <c r="B23" s="72"/>
      <c r="C23" s="72"/>
      <c r="D23" s="72"/>
      <c r="E23" s="42"/>
      <c r="F23" s="31"/>
      <c r="G23" s="32"/>
      <c r="H23" s="45"/>
      <c r="I23" s="32"/>
      <c r="J23" s="34"/>
    </row>
    <row r="24" spans="2:10" ht="18" hidden="1" customHeight="1">
      <c r="B24" s="85"/>
      <c r="C24" s="85"/>
      <c r="D24" s="85"/>
      <c r="E24" s="85"/>
      <c r="F24" s="52"/>
      <c r="G24" s="53"/>
      <c r="H24" s="54">
        <f>SUM(H23:H23)</f>
        <v>0</v>
      </c>
      <c r="I24" s="53">
        <f>SUM(I23:I23)</f>
        <v>0</v>
      </c>
      <c r="J24" s="55"/>
    </row>
    <row r="25" spans="2:10" s="35" customFormat="1" ht="18" hidden="1" customHeight="1">
      <c r="B25" s="72"/>
      <c r="C25" s="72"/>
      <c r="D25" s="96" t="s">
        <v>41</v>
      </c>
      <c r="E25" s="42"/>
      <c r="F25" s="31"/>
      <c r="G25" s="32"/>
      <c r="H25" s="45"/>
      <c r="I25" s="32"/>
      <c r="J25" s="34"/>
    </row>
    <row r="26" spans="2:10" s="35" customFormat="1" ht="18" hidden="1" customHeight="1">
      <c r="B26" s="72"/>
      <c r="C26" s="72"/>
      <c r="D26" s="97"/>
      <c r="E26" s="42"/>
      <c r="F26" s="31"/>
      <c r="G26" s="32"/>
      <c r="H26" s="45"/>
      <c r="I26" s="32"/>
      <c r="J26" s="34"/>
    </row>
    <row r="27" spans="2:10" s="35" customFormat="1" ht="18" hidden="1" customHeight="1">
      <c r="B27" s="72"/>
      <c r="C27" s="72"/>
      <c r="D27" s="97"/>
      <c r="E27" s="42"/>
      <c r="F27" s="31"/>
      <c r="G27" s="32"/>
      <c r="H27" s="45"/>
      <c r="I27" s="32"/>
      <c r="J27" s="34"/>
    </row>
    <row r="28" spans="2:10" s="35" customFormat="1" ht="18" hidden="1" customHeight="1">
      <c r="B28" s="72"/>
      <c r="C28" s="72"/>
      <c r="D28" s="98"/>
      <c r="E28" s="42"/>
      <c r="F28" s="31"/>
      <c r="G28" s="32"/>
      <c r="H28" s="45"/>
      <c r="I28" s="32"/>
      <c r="J28" s="34"/>
    </row>
    <row r="29" spans="2:10" ht="18" hidden="1" customHeight="1">
      <c r="B29" s="85"/>
      <c r="C29" s="85"/>
      <c r="D29" s="85"/>
      <c r="E29" s="85"/>
      <c r="F29" s="52"/>
      <c r="G29" s="53"/>
      <c r="H29" s="54">
        <f>SUM(H25:H28)</f>
        <v>0</v>
      </c>
      <c r="I29" s="53">
        <f>SUM(I25:I28)</f>
        <v>0</v>
      </c>
      <c r="J29" s="55"/>
    </row>
    <row r="30" spans="2:10" ht="18" hidden="1" customHeight="1">
      <c r="B30" s="72"/>
      <c r="C30" s="25"/>
      <c r="D30" s="72"/>
      <c r="E30" s="42"/>
      <c r="F30" s="25"/>
      <c r="G30" s="32"/>
      <c r="H30" s="45"/>
      <c r="I30" s="45"/>
      <c r="J30" s="33"/>
    </row>
    <row r="31" spans="2:10" ht="18" hidden="1" customHeight="1">
      <c r="B31" s="72"/>
      <c r="C31" s="25"/>
      <c r="D31" s="72"/>
      <c r="E31" s="42"/>
      <c r="F31" s="25"/>
      <c r="G31" s="32"/>
      <c r="H31" s="45"/>
      <c r="I31" s="45"/>
      <c r="J31" s="33"/>
    </row>
    <row r="32" spans="2:10" ht="18" hidden="1" customHeight="1">
      <c r="B32" s="72"/>
      <c r="C32" s="25"/>
      <c r="D32" s="72"/>
      <c r="E32" s="42"/>
      <c r="F32" s="25"/>
      <c r="G32" s="32"/>
      <c r="H32" s="45"/>
      <c r="I32" s="45"/>
      <c r="J32" s="33"/>
    </row>
    <row r="33" spans="2:10" ht="18" hidden="1" customHeight="1">
      <c r="B33" s="85"/>
      <c r="C33" s="85"/>
      <c r="D33" s="85"/>
      <c r="E33" s="85"/>
      <c r="F33" s="47"/>
      <c r="G33" s="48"/>
      <c r="H33" s="48">
        <f>SUM(H30:H32)</f>
        <v>0</v>
      </c>
      <c r="I33" s="48">
        <f>SUM(I30:I32)</f>
        <v>0</v>
      </c>
      <c r="J33" s="49"/>
    </row>
    <row r="34" spans="2:10" ht="18" hidden="1" customHeight="1">
      <c r="B34" s="65"/>
      <c r="C34" s="66"/>
      <c r="D34" s="66"/>
      <c r="E34" s="43"/>
      <c r="F34" s="71"/>
      <c r="G34" s="71"/>
      <c r="H34" s="46"/>
      <c r="I34" s="37"/>
      <c r="J34" s="71"/>
    </row>
    <row r="35" spans="2:10" ht="18" hidden="1" customHeight="1">
      <c r="B35" s="86"/>
      <c r="C35" s="87"/>
      <c r="D35" s="87"/>
      <c r="E35" s="88"/>
      <c r="F35" s="47"/>
      <c r="G35" s="48"/>
      <c r="H35" s="48">
        <f>SUM(H34:H34)</f>
        <v>0</v>
      </c>
      <c r="I35" s="48">
        <f>SUM(I34:I34)</f>
        <v>0</v>
      </c>
      <c r="J35" s="49"/>
    </row>
    <row r="36" spans="2:10" ht="18" customHeight="1">
      <c r="B36" s="84"/>
      <c r="C36" s="84"/>
      <c r="D36" s="84"/>
      <c r="E36" s="84"/>
      <c r="F36" s="84"/>
      <c r="G36" s="71" t="s">
        <v>44</v>
      </c>
      <c r="H36" s="46">
        <f>SUM(H35,H33,H29,H24,H22,H18)</f>
        <v>0</v>
      </c>
      <c r="I36" s="26">
        <f>SUM(I35,I33,I29,I24,I22,I18)</f>
        <v>0</v>
      </c>
      <c r="J36" s="84"/>
    </row>
    <row r="37" spans="2:10" ht="18" customHeight="1">
      <c r="B37" s="84"/>
      <c r="C37" s="84"/>
      <c r="D37" s="84"/>
      <c r="E37" s="84"/>
      <c r="F37" s="84"/>
      <c r="G37" s="71" t="s">
        <v>45</v>
      </c>
      <c r="H37" s="71"/>
      <c r="I37" s="26"/>
      <c r="J37" s="84"/>
    </row>
    <row r="38" spans="2:10" ht="21.75" customHeight="1">
      <c r="B38" s="84"/>
      <c r="C38" s="84"/>
      <c r="D38" s="84"/>
      <c r="E38" s="84"/>
      <c r="F38" s="84"/>
      <c r="G38" s="61" t="s">
        <v>46</v>
      </c>
      <c r="H38" s="62">
        <f>H36-H37</f>
        <v>0</v>
      </c>
      <c r="I38" s="62">
        <f>I36-I37</f>
        <v>0</v>
      </c>
      <c r="J38" s="84"/>
    </row>
    <row r="39" spans="2:10" ht="18" customHeight="1">
      <c r="B39" s="50"/>
      <c r="C39" s="50"/>
      <c r="D39" s="50"/>
      <c r="E39" s="50"/>
      <c r="F39" s="50"/>
      <c r="G39" s="50"/>
      <c r="H39" s="50"/>
      <c r="I39" s="51"/>
      <c r="J39" s="50"/>
    </row>
    <row r="41" spans="2:10" ht="17.25" customHeight="1">
      <c r="B41" s="36" t="s">
        <v>47</v>
      </c>
      <c r="C41" s="71" t="s">
        <v>33</v>
      </c>
      <c r="D41" s="71" t="s">
        <v>34</v>
      </c>
      <c r="E41" s="43" t="s">
        <v>35</v>
      </c>
      <c r="F41" s="71" t="s">
        <v>48</v>
      </c>
      <c r="G41" s="71" t="s">
        <v>49</v>
      </c>
      <c r="H41" s="71" t="s">
        <v>19</v>
      </c>
      <c r="I41" s="26" t="s">
        <v>50</v>
      </c>
    </row>
    <row r="42" spans="2:10" ht="17.25" customHeight="1">
      <c r="B42" s="24"/>
      <c r="C42" s="25" t="s">
        <v>40</v>
      </c>
      <c r="D42" s="25" t="s">
        <v>41</v>
      </c>
      <c r="E42" s="44"/>
      <c r="F42" s="25" t="s">
        <v>51</v>
      </c>
      <c r="G42" s="25" t="s">
        <v>52</v>
      </c>
      <c r="H42" s="25" t="s">
        <v>53</v>
      </c>
      <c r="I42" s="74" t="s">
        <v>54</v>
      </c>
    </row>
    <row r="43" spans="2:10" ht="17.25" customHeight="1">
      <c r="B43" s="24"/>
      <c r="C43" s="25" t="s">
        <v>55</v>
      </c>
      <c r="D43" s="25" t="s">
        <v>56</v>
      </c>
      <c r="E43" s="44"/>
      <c r="F43" s="25" t="s">
        <v>57</v>
      </c>
      <c r="G43" s="25" t="s">
        <v>58</v>
      </c>
      <c r="H43" s="25" t="s">
        <v>59</v>
      </c>
      <c r="I43" s="76"/>
    </row>
    <row r="44" spans="2:10" ht="17.25" customHeight="1">
      <c r="B44" s="24"/>
      <c r="C44" s="25" t="s">
        <v>60</v>
      </c>
      <c r="D44" s="25"/>
      <c r="E44" s="44"/>
      <c r="F44" s="25" t="s">
        <v>42</v>
      </c>
      <c r="G44" s="25"/>
      <c r="H44" s="25"/>
      <c r="I44" s="74" t="s">
        <v>61</v>
      </c>
    </row>
    <row r="45" spans="2:10" ht="27.75" customHeight="1">
      <c r="B45" s="24"/>
      <c r="C45" s="25" t="s">
        <v>31</v>
      </c>
      <c r="D45" s="25"/>
      <c r="E45" s="44"/>
      <c r="F45" s="25" t="s">
        <v>62</v>
      </c>
      <c r="G45" s="25"/>
      <c r="H45" s="25"/>
      <c r="I45" s="76"/>
    </row>
    <row r="46" spans="2:10" ht="17.25" customHeight="1">
      <c r="B46" s="24"/>
      <c r="C46" s="25"/>
      <c r="D46" s="25"/>
      <c r="E46" s="44"/>
      <c r="F46" s="25" t="s">
        <v>63</v>
      </c>
      <c r="G46" s="25"/>
      <c r="H46" s="25"/>
      <c r="I46" s="74" t="s">
        <v>64</v>
      </c>
    </row>
    <row r="47" spans="2:10" ht="17.25" customHeight="1">
      <c r="B47" s="24"/>
      <c r="C47" s="25"/>
      <c r="D47" s="25"/>
      <c r="E47" s="44"/>
      <c r="F47" s="25" t="s">
        <v>65</v>
      </c>
      <c r="G47" s="25"/>
      <c r="H47" s="25"/>
      <c r="I47" s="75"/>
    </row>
    <row r="48" spans="2:10" ht="17.25" customHeight="1">
      <c r="B48" s="24"/>
      <c r="C48" s="25"/>
      <c r="D48" s="25"/>
      <c r="E48" s="44"/>
      <c r="F48" s="25" t="s">
        <v>66</v>
      </c>
      <c r="G48" s="25"/>
      <c r="H48" s="25"/>
      <c r="I48" s="76"/>
    </row>
  </sheetData>
  <mergeCells count="19">
    <mergeCell ref="I44:I45"/>
    <mergeCell ref="B29:E29"/>
    <mergeCell ref="D25:D28"/>
    <mergeCell ref="I46:I48"/>
    <mergeCell ref="B2:J2"/>
    <mergeCell ref="C4:D4"/>
    <mergeCell ref="C5:D5"/>
    <mergeCell ref="J36:J38"/>
    <mergeCell ref="B36:F38"/>
    <mergeCell ref="B6:J6"/>
    <mergeCell ref="B22:E22"/>
    <mergeCell ref="B24:E24"/>
    <mergeCell ref="B33:E33"/>
    <mergeCell ref="B35:E35"/>
    <mergeCell ref="B18:E18"/>
    <mergeCell ref="B3:J3"/>
    <mergeCell ref="F4:J4"/>
    <mergeCell ref="F5:J5"/>
    <mergeCell ref="I42:I43"/>
  </mergeCells>
  <phoneticPr fontId="2" type="noConversion"/>
  <pageMargins left="0.39370078740157483" right="0.39370078740157483" top="0.46" bottom="0.39370078740157483" header="0.39370078740157483" footer="0.39370078740157483"/>
  <pageSetup paperSize="9" scale="7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DAA7-D67F-4BCF-9A9F-C04E3CA915AE}">
  <dimension ref="A1"/>
  <sheetViews>
    <sheetView workbookViewId="0">
      <selection activeCell="G2" sqref="G2"/>
    </sheetView>
  </sheetViews>
  <sheetFormatPr defaultRowHeight="13.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지출결의서</vt:lpstr>
      <vt:lpstr>경비사용내역서</vt:lpstr>
      <vt:lpstr>AI영수증</vt:lpstr>
      <vt:lpstr>경비사용내역서!Print_Area</vt:lpstr>
      <vt:lpstr>지출결의서!Print_Area</vt:lpstr>
    </vt:vector>
  </TitlesOfParts>
  <Manager/>
  <Company>NEX Edition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Digital NEX</dc:creator>
  <cp:keywords/>
  <dc:description/>
  <cp:lastModifiedBy>병로 하</cp:lastModifiedBy>
  <cp:revision/>
  <cp:lastPrinted>2026-08-19T07:11:57Z</cp:lastPrinted>
  <dcterms:created xsi:type="dcterms:W3CDTF">2009-11-23T02:19:06Z</dcterms:created>
  <dcterms:modified xsi:type="dcterms:W3CDTF">2026-08-28T01:46:37Z</dcterms:modified>
  <cp:category/>
  <cp:contentStatus/>
</cp:coreProperties>
</file>